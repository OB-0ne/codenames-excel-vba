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b14316\Documents\02 Project\991 Code Names\"/>
    </mc:Choice>
  </mc:AlternateContent>
  <bookViews>
    <workbookView xWindow="0" yWindow="0" windowWidth="23040" windowHeight="10788"/>
  </bookViews>
  <sheets>
    <sheet name="Card Board" sheetId="1" r:id="rId1"/>
    <sheet name="Control" sheetId="2" r:id="rId2"/>
    <sheet name="Question Card" sheetId="4" r:id="rId3"/>
    <sheet name="Database" sheetId="3" r:id="rId4"/>
  </sheets>
  <functionGroups builtInGroupCount="18"/>
  <definedNames>
    <definedName name="Board_Card_01">'Card Board'!$P$4</definedName>
    <definedName name="Board_Card_02">'Card Board'!$R$4</definedName>
    <definedName name="Board_Card_03">'Card Board'!$T$4</definedName>
    <definedName name="Board_Card_04">'Card Board'!$V$4</definedName>
    <definedName name="Board_Card_05">'Card Board'!$X$4</definedName>
    <definedName name="Board_Card_06">'Card Board'!$P$6</definedName>
    <definedName name="Board_Card_07">'Card Board'!$R$6</definedName>
    <definedName name="Board_Card_08">'Card Board'!$T$6</definedName>
    <definedName name="Board_Card_09">'Card Board'!$V$6</definedName>
    <definedName name="Board_Card_10">'Card Board'!$X$6</definedName>
    <definedName name="Board_Card_11">'Card Board'!$P$8</definedName>
    <definedName name="Board_Card_12">'Card Board'!$R$8</definedName>
    <definedName name="Board_Card_13">'Card Board'!$T$8</definedName>
    <definedName name="Board_Card_14">'Card Board'!$V$8</definedName>
    <definedName name="Board_Card_15">'Card Board'!$X$8</definedName>
    <definedName name="Board_Card_16">'Card Board'!$P$10</definedName>
    <definedName name="Board_Card_17">'Card Board'!$R$10</definedName>
    <definedName name="Board_Card_18">'Card Board'!$T$10</definedName>
    <definedName name="Board_Card_19">'Card Board'!$V$10</definedName>
    <definedName name="Board_Card_20">'Card Board'!$X$10</definedName>
    <definedName name="Board_Card_21">'Card Board'!$P$12</definedName>
    <definedName name="Board_Card_22">'Card Board'!$R$12</definedName>
    <definedName name="Board_Card_23">'Card Board'!$T$12</definedName>
    <definedName name="Board_Card_24">'Card Board'!$V$12</definedName>
    <definedName name="Board_Card_25">'Card Board'!$X$12</definedName>
    <definedName name="Ctrl_BoardCardInfo_Start">Control!$F$4</definedName>
    <definedName name="Ctrl_BoardWordCount">Control!$C$4</definedName>
    <definedName name="Ctrl_EndGame_Assassin">Control!$C$15</definedName>
    <definedName name="Ctrl_EndGame_Blue">Control!$C$17</definedName>
    <definedName name="Ctrl_EndGame_Red">Control!$C$16</definedName>
    <definedName name="Ctrl_Game_ExtraCard">Control!$C$11</definedName>
    <definedName name="Ctrl_GameState">Control!$P$4</definedName>
    <definedName name="Ctrl_TotalAssassinCount">Control!$C$7</definedName>
    <definedName name="Ctrl_TotalTeamSpyCount">Control!$C$6</definedName>
    <definedName name="Ctrl_TotalWordCount">Control!$C$5</definedName>
    <definedName name="DB_CodeNames">Database!$B$2</definedName>
    <definedName name="DB_CodeNamesList">OFFSET(DB_CodeNames,1,0,Ctrl_TotalWordCount,1)</definedName>
    <definedName name="QuestionCard_Card">'Question Card'!$H$6:$L$10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2" l="1"/>
  <c r="K10" i="4" l="1"/>
  <c r="J10" i="4"/>
  <c r="I10" i="4"/>
  <c r="H10" i="4"/>
  <c r="L9" i="4"/>
  <c r="J9" i="4"/>
  <c r="I9" i="4"/>
  <c r="H9" i="4"/>
  <c r="L8" i="4"/>
  <c r="K8" i="4"/>
  <c r="I8" i="4"/>
  <c r="H8" i="4"/>
  <c r="L7" i="4"/>
  <c r="K7" i="4"/>
  <c r="J7" i="4"/>
  <c r="H7" i="4"/>
  <c r="L6" i="4"/>
  <c r="K6" i="4"/>
  <c r="J6" i="4"/>
  <c r="I6" i="4"/>
  <c r="I7" i="4"/>
  <c r="J8" i="4"/>
  <c r="K9" i="4"/>
  <c r="L10" i="4"/>
  <c r="H6" i="4"/>
  <c r="K6" i="2" l="1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5" i="2"/>
  <c r="R5" i="2"/>
  <c r="R8" i="2"/>
  <c r="R7" i="2"/>
  <c r="U7" i="2" l="1"/>
  <c r="C16" i="2" s="1"/>
  <c r="U5" i="2"/>
  <c r="C15" i="2" s="1"/>
  <c r="U8" i="2"/>
  <c r="C17" i="2" s="1"/>
  <c r="U6" i="2"/>
  <c r="S5" i="2"/>
  <c r="S7" i="2"/>
  <c r="S8" i="2"/>
  <c r="R6" i="2"/>
  <c r="S6" i="2" s="1"/>
  <c r="C5" i="2"/>
  <c r="H7" i="2" l="1"/>
  <c r="H11" i="2"/>
  <c r="H15" i="2"/>
  <c r="H19" i="2"/>
  <c r="H23" i="2"/>
  <c r="H27" i="2"/>
  <c r="H8" i="2"/>
  <c r="H12" i="2"/>
  <c r="H16" i="2"/>
  <c r="H20" i="2"/>
  <c r="H24" i="2"/>
  <c r="H28" i="2"/>
  <c r="H9" i="2"/>
  <c r="H13" i="2"/>
  <c r="H17" i="2"/>
  <c r="H21" i="2"/>
  <c r="H25" i="2"/>
  <c r="H29" i="2"/>
  <c r="H6" i="2"/>
  <c r="H10" i="2"/>
  <c r="H14" i="2"/>
  <c r="H18" i="2"/>
  <c r="H22" i="2"/>
  <c r="H26" i="2"/>
  <c r="H5" i="2"/>
  <c r="R12" i="1" l="1"/>
  <c r="M26" i="2"/>
  <c r="P6" i="1"/>
  <c r="M10" i="2"/>
  <c r="R10" i="1"/>
  <c r="M21" i="2"/>
  <c r="V12" i="1"/>
  <c r="M28" i="2"/>
  <c r="T6" i="1"/>
  <c r="M12" i="2"/>
  <c r="X8" i="1"/>
  <c r="M19" i="2"/>
  <c r="T10" i="1"/>
  <c r="M22" i="2"/>
  <c r="R4" i="1"/>
  <c r="M6" i="2"/>
  <c r="T8" i="1"/>
  <c r="M17" i="2"/>
  <c r="X10" i="1"/>
  <c r="M24" i="2"/>
  <c r="V4" i="1"/>
  <c r="M8" i="2"/>
  <c r="P8" i="1"/>
  <c r="M15" i="2"/>
  <c r="V8" i="1"/>
  <c r="M18" i="2"/>
  <c r="X12" i="1"/>
  <c r="M29" i="2"/>
  <c r="V6" i="1"/>
  <c r="M13" i="2"/>
  <c r="P10" i="1"/>
  <c r="M20" i="2"/>
  <c r="T12" i="1"/>
  <c r="M27" i="2"/>
  <c r="R6" i="1"/>
  <c r="M11" i="2"/>
  <c r="X6" i="1"/>
  <c r="M14" i="2"/>
  <c r="P12" i="1"/>
  <c r="M25" i="2"/>
  <c r="X4" i="1"/>
  <c r="M9" i="2"/>
  <c r="R8" i="1"/>
  <c r="M16" i="2"/>
  <c r="V10" i="1"/>
  <c r="M23" i="2"/>
  <c r="T4" i="1"/>
  <c r="M7" i="2"/>
  <c r="P4" i="1"/>
  <c r="M5" i="2"/>
</calcChain>
</file>

<file path=xl/sharedStrings.xml><?xml version="1.0" encoding="utf-8"?>
<sst xmlns="http://schemas.openxmlformats.org/spreadsheetml/2006/main" count="711" uniqueCount="703">
  <si>
    <t>Card</t>
  </si>
  <si>
    <t>Code Name</t>
  </si>
  <si>
    <t>Code Names</t>
  </si>
  <si>
    <t>Acne</t>
  </si>
  <si>
    <t>Acre</t>
  </si>
  <si>
    <t>Addendum</t>
  </si>
  <si>
    <t>Advertise</t>
  </si>
  <si>
    <t>Aircraft</t>
  </si>
  <si>
    <t>Aisle</t>
  </si>
  <si>
    <t>Alligator</t>
  </si>
  <si>
    <t>Alphabetize</t>
  </si>
  <si>
    <t>America</t>
  </si>
  <si>
    <t>Ankle</t>
  </si>
  <si>
    <t>Apathy</t>
  </si>
  <si>
    <t>Applause</t>
  </si>
  <si>
    <t>Applesauc</t>
  </si>
  <si>
    <t>Application</t>
  </si>
  <si>
    <t>Archaeologist</t>
  </si>
  <si>
    <t>Aristocrat</t>
  </si>
  <si>
    <t>Arm</t>
  </si>
  <si>
    <t>Armada</t>
  </si>
  <si>
    <t>Asleep</t>
  </si>
  <si>
    <t>Astronaut</t>
  </si>
  <si>
    <t>Athlete</t>
  </si>
  <si>
    <t>Atlantis</t>
  </si>
  <si>
    <t>Aunt</t>
  </si>
  <si>
    <t>Avocado</t>
  </si>
  <si>
    <t>Baby-Sitter</t>
  </si>
  <si>
    <t>Backbone</t>
  </si>
  <si>
    <t>Bag</t>
  </si>
  <si>
    <t>Baguette</t>
  </si>
  <si>
    <t>Bald</t>
  </si>
  <si>
    <t>Balloon</t>
  </si>
  <si>
    <t>Banana</t>
  </si>
  <si>
    <t>Banister</t>
  </si>
  <si>
    <t>Baseball</t>
  </si>
  <si>
    <t>Baseboards</t>
  </si>
  <si>
    <t>Basketball</t>
  </si>
  <si>
    <t>Bat</t>
  </si>
  <si>
    <t>Battery</t>
  </si>
  <si>
    <t>Beach</t>
  </si>
  <si>
    <t>Beanstalk</t>
  </si>
  <si>
    <t>Bedbug</t>
  </si>
  <si>
    <t>Beer</t>
  </si>
  <si>
    <t>Beethoven</t>
  </si>
  <si>
    <t>Belt</t>
  </si>
  <si>
    <t>Bib</t>
  </si>
  <si>
    <t>Bicycle</t>
  </si>
  <si>
    <t>Big</t>
  </si>
  <si>
    <t>Bike</t>
  </si>
  <si>
    <t>Billboard</t>
  </si>
  <si>
    <t>Bird</t>
  </si>
  <si>
    <t>Birthday</t>
  </si>
  <si>
    <t>Bite</t>
  </si>
  <si>
    <t>Blacksmith</t>
  </si>
  <si>
    <t>Blanket</t>
  </si>
  <si>
    <t>Bleach</t>
  </si>
  <si>
    <t>Blimp</t>
  </si>
  <si>
    <t>Blossom</t>
  </si>
  <si>
    <t>Blueprint</t>
  </si>
  <si>
    <t>Blunt</t>
  </si>
  <si>
    <t>Blur</t>
  </si>
  <si>
    <t>Boa</t>
  </si>
  <si>
    <t>Boat</t>
  </si>
  <si>
    <t>Bob</t>
  </si>
  <si>
    <t>Bobsled</t>
  </si>
  <si>
    <t>Body</t>
  </si>
  <si>
    <t>Bomb</t>
  </si>
  <si>
    <t>Bonnet</t>
  </si>
  <si>
    <t>Book</t>
  </si>
  <si>
    <t>Booth</t>
  </si>
  <si>
    <t>Bowtie</t>
  </si>
  <si>
    <t>Box</t>
  </si>
  <si>
    <t>Boy</t>
  </si>
  <si>
    <t>Brainstorm</t>
  </si>
  <si>
    <t>Brand</t>
  </si>
  <si>
    <t>Brave</t>
  </si>
  <si>
    <t>Bride</t>
  </si>
  <si>
    <t>Bridge</t>
  </si>
  <si>
    <t>Broccoli</t>
  </si>
  <si>
    <t>Broken</t>
  </si>
  <si>
    <t>Broom</t>
  </si>
  <si>
    <t>Bruise</t>
  </si>
  <si>
    <t>Brunette</t>
  </si>
  <si>
    <t>Bubble</t>
  </si>
  <si>
    <t>Buddy</t>
  </si>
  <si>
    <t>Buffalo</t>
  </si>
  <si>
    <t>Bulb</t>
  </si>
  <si>
    <t>Bunny</t>
  </si>
  <si>
    <t>Bus</t>
  </si>
  <si>
    <t>Buy</t>
  </si>
  <si>
    <t>Cabin</t>
  </si>
  <si>
    <t>Cafeteria</t>
  </si>
  <si>
    <t>Cake</t>
  </si>
  <si>
    <t>Calculator</t>
  </si>
  <si>
    <t>Campsite</t>
  </si>
  <si>
    <t>Can</t>
  </si>
  <si>
    <t>Canada</t>
  </si>
  <si>
    <t>Candle</t>
  </si>
  <si>
    <t>Candy</t>
  </si>
  <si>
    <t>Cape</t>
  </si>
  <si>
    <t>Capitalism</t>
  </si>
  <si>
    <t>Car</t>
  </si>
  <si>
    <t>Cardboard</t>
  </si>
  <si>
    <t>Cartography</t>
  </si>
  <si>
    <t>Cat</t>
  </si>
  <si>
    <t>Cd</t>
  </si>
  <si>
    <t>Ceiling</t>
  </si>
  <si>
    <t>Cell</t>
  </si>
  <si>
    <t>Century</t>
  </si>
  <si>
    <t>Chair</t>
  </si>
  <si>
    <t>Chalk</t>
  </si>
  <si>
    <t>Champion</t>
  </si>
  <si>
    <t>Charger</t>
  </si>
  <si>
    <t>Cheerleader</t>
  </si>
  <si>
    <t>Chef</t>
  </si>
  <si>
    <t>Chess</t>
  </si>
  <si>
    <t>Chew</t>
  </si>
  <si>
    <t>Chicken</t>
  </si>
  <si>
    <t>Chime</t>
  </si>
  <si>
    <t>China</t>
  </si>
  <si>
    <t>Chocolate</t>
  </si>
  <si>
    <t>Church</t>
  </si>
  <si>
    <t>Circus</t>
  </si>
  <si>
    <t>Clay</t>
  </si>
  <si>
    <t>Cliff</t>
  </si>
  <si>
    <t>Cloak</t>
  </si>
  <si>
    <t>Clockwork</t>
  </si>
  <si>
    <t>Clown</t>
  </si>
  <si>
    <t>Clue</t>
  </si>
  <si>
    <t>Coach</t>
  </si>
  <si>
    <t>Coal</t>
  </si>
  <si>
    <t>Coaster</t>
  </si>
  <si>
    <t>Cog</t>
  </si>
  <si>
    <t>Cold</t>
  </si>
  <si>
    <t>College</t>
  </si>
  <si>
    <t>Comfort</t>
  </si>
  <si>
    <t>Computer</t>
  </si>
  <si>
    <t>Cone</t>
  </si>
  <si>
    <t>Constrictor</t>
  </si>
  <si>
    <t>Continuum</t>
  </si>
  <si>
    <t>Conversation</t>
  </si>
  <si>
    <t>Cook</t>
  </si>
  <si>
    <t>Coop</t>
  </si>
  <si>
    <t>Cord</t>
  </si>
  <si>
    <t>Corduroy</t>
  </si>
  <si>
    <t>Cot</t>
  </si>
  <si>
    <t>Cough</t>
  </si>
  <si>
    <t>Cow</t>
  </si>
  <si>
    <t>Cowboy</t>
  </si>
  <si>
    <t>Crayon</t>
  </si>
  <si>
    <t>Cream</t>
  </si>
  <si>
    <t>Crisp</t>
  </si>
  <si>
    <t>Criticize</t>
  </si>
  <si>
    <t>Crow</t>
  </si>
  <si>
    <t>Cruise</t>
  </si>
  <si>
    <t>Crumb</t>
  </si>
  <si>
    <t>Crust</t>
  </si>
  <si>
    <t>Cuff</t>
  </si>
  <si>
    <t>Curtain</t>
  </si>
  <si>
    <t>Cuticle</t>
  </si>
  <si>
    <t>Czar</t>
  </si>
  <si>
    <t>Dad</t>
  </si>
  <si>
    <t>Dart</t>
  </si>
  <si>
    <t>Dawn</t>
  </si>
  <si>
    <t>Day</t>
  </si>
  <si>
    <t>Deep</t>
  </si>
  <si>
    <t>Defect</t>
  </si>
  <si>
    <t>Dent</t>
  </si>
  <si>
    <t>Dentist</t>
  </si>
  <si>
    <t>Desk</t>
  </si>
  <si>
    <t>Dictionary</t>
  </si>
  <si>
    <t>Dimple</t>
  </si>
  <si>
    <t>Dirty</t>
  </si>
  <si>
    <t>Dismantle</t>
  </si>
  <si>
    <t>Ditch</t>
  </si>
  <si>
    <t>Diver</t>
  </si>
  <si>
    <t>Doctor</t>
  </si>
  <si>
    <t>Dog</t>
  </si>
  <si>
    <t>Doghouse</t>
  </si>
  <si>
    <t>Doll</t>
  </si>
  <si>
    <t>Dominoes</t>
  </si>
  <si>
    <t>Door</t>
  </si>
  <si>
    <t>Dot</t>
  </si>
  <si>
    <t>Drain</t>
  </si>
  <si>
    <t>Draw</t>
  </si>
  <si>
    <t>Dream</t>
  </si>
  <si>
    <t>Dress</t>
  </si>
  <si>
    <t>Drink</t>
  </si>
  <si>
    <t>Drip</t>
  </si>
  <si>
    <t>Drums</t>
  </si>
  <si>
    <t>Dryer</t>
  </si>
  <si>
    <t>Duck</t>
  </si>
  <si>
    <t>Dump</t>
  </si>
  <si>
    <t>Dunk</t>
  </si>
  <si>
    <t>Dust</t>
  </si>
  <si>
    <t>Ear</t>
  </si>
  <si>
    <t>Eat</t>
  </si>
  <si>
    <t>Ebony</t>
  </si>
  <si>
    <t>Elbow</t>
  </si>
  <si>
    <t>Electricity</t>
  </si>
  <si>
    <t>Elephant</t>
  </si>
  <si>
    <t>Elevator</t>
  </si>
  <si>
    <t>Elf</t>
  </si>
  <si>
    <t>Elm</t>
  </si>
  <si>
    <t>Engine</t>
  </si>
  <si>
    <t>England</t>
  </si>
  <si>
    <t>Ergonomic</t>
  </si>
  <si>
    <t>Escalator</t>
  </si>
  <si>
    <t>Eureka</t>
  </si>
  <si>
    <t>Europe</t>
  </si>
  <si>
    <t>Evolution</t>
  </si>
  <si>
    <t>Extension</t>
  </si>
  <si>
    <t>Eyebrow</t>
  </si>
  <si>
    <t>Fan</t>
  </si>
  <si>
    <t>Fancy</t>
  </si>
  <si>
    <t>Fast</t>
  </si>
  <si>
    <t>Feast</t>
  </si>
  <si>
    <t>Fence</t>
  </si>
  <si>
    <t>Feudalism</t>
  </si>
  <si>
    <t>Fiddle</t>
  </si>
  <si>
    <t>Figment</t>
  </si>
  <si>
    <t>Finger</t>
  </si>
  <si>
    <t>Fire</t>
  </si>
  <si>
    <t>First</t>
  </si>
  <si>
    <t>Fishing</t>
  </si>
  <si>
    <t>Fix</t>
  </si>
  <si>
    <t>Fizz</t>
  </si>
  <si>
    <t>Flagpole</t>
  </si>
  <si>
    <t>Flannel</t>
  </si>
  <si>
    <t>Flashlight</t>
  </si>
  <si>
    <t>Flock</t>
  </si>
  <si>
    <t>Flotsam</t>
  </si>
  <si>
    <t>Flower</t>
  </si>
  <si>
    <t>Flu</t>
  </si>
  <si>
    <t>Flush</t>
  </si>
  <si>
    <t>Flutter</t>
  </si>
  <si>
    <t>Fog</t>
  </si>
  <si>
    <t>Foil</t>
  </si>
  <si>
    <t>Football</t>
  </si>
  <si>
    <t>Forehead</t>
  </si>
  <si>
    <t>Forever</t>
  </si>
  <si>
    <t>Fortnight</t>
  </si>
  <si>
    <t>France</t>
  </si>
  <si>
    <t>Freckle</t>
  </si>
  <si>
    <t>Freight</t>
  </si>
  <si>
    <t>Fringe</t>
  </si>
  <si>
    <t>Frog</t>
  </si>
  <si>
    <t>Frown</t>
  </si>
  <si>
    <t>Gallop</t>
  </si>
  <si>
    <t>Game</t>
  </si>
  <si>
    <t>Garbage</t>
  </si>
  <si>
    <t>Garden</t>
  </si>
  <si>
    <t>Gasoline</t>
  </si>
  <si>
    <t>Gem</t>
  </si>
  <si>
    <t>Ginger</t>
  </si>
  <si>
    <t>Gingerbread</t>
  </si>
  <si>
    <t>Girl</t>
  </si>
  <si>
    <t>Glasses</t>
  </si>
  <si>
    <t>Goblin</t>
  </si>
  <si>
    <t>Gold</t>
  </si>
  <si>
    <t>Goodbye</t>
  </si>
  <si>
    <t>Grandpa</t>
  </si>
  <si>
    <t>Grape</t>
  </si>
  <si>
    <t>Grass</t>
  </si>
  <si>
    <t>Gratitude</t>
  </si>
  <si>
    <t>Gray</t>
  </si>
  <si>
    <t>Green</t>
  </si>
  <si>
    <t>Guitar</t>
  </si>
  <si>
    <t>Gum</t>
  </si>
  <si>
    <t>Gumball</t>
  </si>
  <si>
    <t>Hair</t>
  </si>
  <si>
    <t>Half</t>
  </si>
  <si>
    <t>Handle</t>
  </si>
  <si>
    <t>Handwriting</t>
  </si>
  <si>
    <t>Hang</t>
  </si>
  <si>
    <t>Happy</t>
  </si>
  <si>
    <t>Hat</t>
  </si>
  <si>
    <t>Hatch</t>
  </si>
  <si>
    <t>Headache</t>
  </si>
  <si>
    <t>Heart</t>
  </si>
  <si>
    <t>Hedge</t>
  </si>
  <si>
    <t>Helicopter</t>
  </si>
  <si>
    <t>Hem</t>
  </si>
  <si>
    <t>Hide</t>
  </si>
  <si>
    <t>Hill</t>
  </si>
  <si>
    <t>Hockey</t>
  </si>
  <si>
    <t>Homework</t>
  </si>
  <si>
    <t>Honk</t>
  </si>
  <si>
    <t>Hopscotch</t>
  </si>
  <si>
    <t>Horse</t>
  </si>
  <si>
    <t>Hose</t>
  </si>
  <si>
    <t>Hot</t>
  </si>
  <si>
    <t>House</t>
  </si>
  <si>
    <t>Houseboat</t>
  </si>
  <si>
    <t>Hug</t>
  </si>
  <si>
    <t>Humidifier</t>
  </si>
  <si>
    <t>Hungry</t>
  </si>
  <si>
    <t>Hurdle</t>
  </si>
  <si>
    <t>Hurt</t>
  </si>
  <si>
    <t>Hut</t>
  </si>
  <si>
    <t>Ice</t>
  </si>
  <si>
    <t>Implode</t>
  </si>
  <si>
    <t>Inn</t>
  </si>
  <si>
    <t>Inquisition</t>
  </si>
  <si>
    <t>Intern</t>
  </si>
  <si>
    <t>Internet</t>
  </si>
  <si>
    <t>Invitation</t>
  </si>
  <si>
    <t>Ironic</t>
  </si>
  <si>
    <t>Ivory</t>
  </si>
  <si>
    <t>Ivy</t>
  </si>
  <si>
    <t>Jade</t>
  </si>
  <si>
    <t>Japan</t>
  </si>
  <si>
    <t>Jeans</t>
  </si>
  <si>
    <t>Jelly</t>
  </si>
  <si>
    <t>Jet</t>
  </si>
  <si>
    <t>Jig</t>
  </si>
  <si>
    <t>Jog</t>
  </si>
  <si>
    <t>Journal</t>
  </si>
  <si>
    <t>Jump</t>
  </si>
  <si>
    <t>Key</t>
  </si>
  <si>
    <t>Killer</t>
  </si>
  <si>
    <t>Kilogram</t>
  </si>
  <si>
    <t>King</t>
  </si>
  <si>
    <t>Kitchen</t>
  </si>
  <si>
    <t>Kite</t>
  </si>
  <si>
    <t>Knee</t>
  </si>
  <si>
    <t>Kneel</t>
  </si>
  <si>
    <t>Knife</t>
  </si>
  <si>
    <t>Knight</t>
  </si>
  <si>
    <t>Koala</t>
  </si>
  <si>
    <t>Lace</t>
  </si>
  <si>
    <t>Ladder</t>
  </si>
  <si>
    <t>Ladybug</t>
  </si>
  <si>
    <t>Lag</t>
  </si>
  <si>
    <t>Landfill</t>
  </si>
  <si>
    <t>Lap</t>
  </si>
  <si>
    <t>Laugh</t>
  </si>
  <si>
    <t>Laundry</t>
  </si>
  <si>
    <t>Law</t>
  </si>
  <si>
    <t>Lawn</t>
  </si>
  <si>
    <t>Lawnmower</t>
  </si>
  <si>
    <t>Leak</t>
  </si>
  <si>
    <t>Leg</t>
  </si>
  <si>
    <t>Letter</t>
  </si>
  <si>
    <t>Level</t>
  </si>
  <si>
    <t>Lifestyle</t>
  </si>
  <si>
    <t>Ligament</t>
  </si>
  <si>
    <t>Light</t>
  </si>
  <si>
    <t>Lightsaber</t>
  </si>
  <si>
    <t>Lime</t>
  </si>
  <si>
    <t>Lion</t>
  </si>
  <si>
    <t>Lizard</t>
  </si>
  <si>
    <t>Log</t>
  </si>
  <si>
    <t>Loiterer</t>
  </si>
  <si>
    <t>Lollipop</t>
  </si>
  <si>
    <t>Loveseat</t>
  </si>
  <si>
    <t>Loyalty</t>
  </si>
  <si>
    <t>Lunch</t>
  </si>
  <si>
    <t>Lunchbox</t>
  </si>
  <si>
    <t>Lyrics</t>
  </si>
  <si>
    <t>Machine</t>
  </si>
  <si>
    <t>Macho</t>
  </si>
  <si>
    <t>Mailbox</t>
  </si>
  <si>
    <t>Mammoth</t>
  </si>
  <si>
    <t>Mark</t>
  </si>
  <si>
    <t>Mars</t>
  </si>
  <si>
    <t>Mascot</t>
  </si>
  <si>
    <t>Mast</t>
  </si>
  <si>
    <t>Matchstick</t>
  </si>
  <si>
    <t>Mate</t>
  </si>
  <si>
    <t>Mattress</t>
  </si>
  <si>
    <t>Mess</t>
  </si>
  <si>
    <t>Mexico</t>
  </si>
  <si>
    <t>Midsummer</t>
  </si>
  <si>
    <t>Mine</t>
  </si>
  <si>
    <t>Mistake</t>
  </si>
  <si>
    <t>Modern</t>
  </si>
  <si>
    <t>Mold</t>
  </si>
  <si>
    <t>Mom</t>
  </si>
  <si>
    <t>Monday</t>
  </si>
  <si>
    <t>Money</t>
  </si>
  <si>
    <t>Monitor</t>
  </si>
  <si>
    <t>Monster</t>
  </si>
  <si>
    <t>Mooch</t>
  </si>
  <si>
    <t>Moon</t>
  </si>
  <si>
    <t>Mop</t>
  </si>
  <si>
    <t>Moth</t>
  </si>
  <si>
    <t>Motorcycle</t>
  </si>
  <si>
    <t>Mountain</t>
  </si>
  <si>
    <t>Mouse</t>
  </si>
  <si>
    <t>Mower</t>
  </si>
  <si>
    <t>Mud</t>
  </si>
  <si>
    <t>Music</t>
  </si>
  <si>
    <t>Mute</t>
  </si>
  <si>
    <t>Nature</t>
  </si>
  <si>
    <t>Negotiate</t>
  </si>
  <si>
    <t>Neighbor</t>
  </si>
  <si>
    <t>Nest</t>
  </si>
  <si>
    <t>Neutron</t>
  </si>
  <si>
    <t>Niece</t>
  </si>
  <si>
    <t>Night</t>
  </si>
  <si>
    <t>Nightmare</t>
  </si>
  <si>
    <t>Nose</t>
  </si>
  <si>
    <t>Oar</t>
  </si>
  <si>
    <t>Observatory</t>
  </si>
  <si>
    <t>Office</t>
  </si>
  <si>
    <t>Oil</t>
  </si>
  <si>
    <t>Old</t>
  </si>
  <si>
    <t>Olympian</t>
  </si>
  <si>
    <t>Opaque</t>
  </si>
  <si>
    <t>Opener</t>
  </si>
  <si>
    <t>Orbit</t>
  </si>
  <si>
    <t>Organ</t>
  </si>
  <si>
    <t>Organize</t>
  </si>
  <si>
    <t>Outer</t>
  </si>
  <si>
    <t>Outside</t>
  </si>
  <si>
    <t>Ovation</t>
  </si>
  <si>
    <t>Overture</t>
  </si>
  <si>
    <t>Pail</t>
  </si>
  <si>
    <t>Paint</t>
  </si>
  <si>
    <t>Pajamas</t>
  </si>
  <si>
    <t>Palace</t>
  </si>
  <si>
    <t>Pants</t>
  </si>
  <si>
    <t>Paper</t>
  </si>
  <si>
    <t>Park</t>
  </si>
  <si>
    <t>Parody</t>
  </si>
  <si>
    <t>Party</t>
  </si>
  <si>
    <t>Password</t>
  </si>
  <si>
    <t>Pastry</t>
  </si>
  <si>
    <t>Pawn</t>
  </si>
  <si>
    <t>Pear</t>
  </si>
  <si>
    <t>Pen</t>
  </si>
  <si>
    <t>Pencil</t>
  </si>
  <si>
    <t>Pendulum</t>
  </si>
  <si>
    <t>Penis</t>
  </si>
  <si>
    <t>Penny</t>
  </si>
  <si>
    <t>Pepper</t>
  </si>
  <si>
    <t>Personal</t>
  </si>
  <si>
    <t>Philosopher</t>
  </si>
  <si>
    <t>Phone</t>
  </si>
  <si>
    <t>Photograph</t>
  </si>
  <si>
    <t>Piano</t>
  </si>
  <si>
    <t>Picnic</t>
  </si>
  <si>
    <t>Pigpen</t>
  </si>
  <si>
    <t>Pillow</t>
  </si>
  <si>
    <t>Pilot</t>
  </si>
  <si>
    <t>Pinch</t>
  </si>
  <si>
    <t>Ping</t>
  </si>
  <si>
    <t>Pinwheel</t>
  </si>
  <si>
    <t>Pirate</t>
  </si>
  <si>
    <t>Plaid</t>
  </si>
  <si>
    <t>Plan</t>
  </si>
  <si>
    <t>Plank</t>
  </si>
  <si>
    <t>Plate</t>
  </si>
  <si>
    <t>Platypus</t>
  </si>
  <si>
    <t>Playground</t>
  </si>
  <si>
    <t>Plow</t>
  </si>
  <si>
    <t>Plumber</t>
  </si>
  <si>
    <t>Pocket</t>
  </si>
  <si>
    <t>Poem</t>
  </si>
  <si>
    <t>Point</t>
  </si>
  <si>
    <t>Pole</t>
  </si>
  <si>
    <t>Pomp</t>
  </si>
  <si>
    <t>Pong</t>
  </si>
  <si>
    <t>Pool</t>
  </si>
  <si>
    <t>Popsicle</t>
  </si>
  <si>
    <t>Population</t>
  </si>
  <si>
    <t>Portfolio</t>
  </si>
  <si>
    <t>Positive</t>
  </si>
  <si>
    <t>Post</t>
  </si>
  <si>
    <t>Princess</t>
  </si>
  <si>
    <t>Procrastinate</t>
  </si>
  <si>
    <t>Protestant</t>
  </si>
  <si>
    <t>Psychologist</t>
  </si>
  <si>
    <t>Publisher</t>
  </si>
  <si>
    <t>Punk</t>
  </si>
  <si>
    <t>Puppet</t>
  </si>
  <si>
    <t>Puppy</t>
  </si>
  <si>
    <t>Push</t>
  </si>
  <si>
    <t>Puzzle</t>
  </si>
  <si>
    <t>Quarantine</t>
  </si>
  <si>
    <t>Queen</t>
  </si>
  <si>
    <t>Quicksand</t>
  </si>
  <si>
    <t>Quiet</t>
  </si>
  <si>
    <t>Race</t>
  </si>
  <si>
    <t>Radio</t>
  </si>
  <si>
    <t>Raft</t>
  </si>
  <si>
    <t>Rag</t>
  </si>
  <si>
    <t>Rainbow</t>
  </si>
  <si>
    <t>Rainwater</t>
  </si>
  <si>
    <t>Random</t>
  </si>
  <si>
    <t>Ray</t>
  </si>
  <si>
    <t>Recycle</t>
  </si>
  <si>
    <t>Red</t>
  </si>
  <si>
    <t>Regret</t>
  </si>
  <si>
    <t>Reimbursement</t>
  </si>
  <si>
    <t>Retaliate</t>
  </si>
  <si>
    <t>Rib</t>
  </si>
  <si>
    <t>Riddle</t>
  </si>
  <si>
    <t>Rim</t>
  </si>
  <si>
    <t>Rink</t>
  </si>
  <si>
    <t>Roller</t>
  </si>
  <si>
    <t>Room</t>
  </si>
  <si>
    <t>Rose</t>
  </si>
  <si>
    <t>Round</t>
  </si>
  <si>
    <t>Roundabout</t>
  </si>
  <si>
    <t>Rung</t>
  </si>
  <si>
    <t>Runt</t>
  </si>
  <si>
    <t>Rut</t>
  </si>
  <si>
    <t>Sad</t>
  </si>
  <si>
    <t>Safe</t>
  </si>
  <si>
    <t>Salmon</t>
  </si>
  <si>
    <t>Salt</t>
  </si>
  <si>
    <t>Sandbox</t>
  </si>
  <si>
    <t>Sandcastle</t>
  </si>
  <si>
    <t>Sandwich</t>
  </si>
  <si>
    <t>Sash</t>
  </si>
  <si>
    <t>Satellite</t>
  </si>
  <si>
    <t>Scar</t>
  </si>
  <si>
    <t>Scared</t>
  </si>
  <si>
    <t>School</t>
  </si>
  <si>
    <t>Scoundrel</t>
  </si>
  <si>
    <t>Scramble</t>
  </si>
  <si>
    <t>Scuff</t>
  </si>
  <si>
    <t>Seashell</t>
  </si>
  <si>
    <t>Season</t>
  </si>
  <si>
    <t>Sentence</t>
  </si>
  <si>
    <t>Sequins</t>
  </si>
  <si>
    <t>Set</t>
  </si>
  <si>
    <t>Shaft</t>
  </si>
  <si>
    <t>Shallow</t>
  </si>
  <si>
    <t>Shampoo</t>
  </si>
  <si>
    <t>Shark</t>
  </si>
  <si>
    <t>Sheep</t>
  </si>
  <si>
    <t>Sheets</t>
  </si>
  <si>
    <t>Sheriff</t>
  </si>
  <si>
    <t>Shipwreck</t>
  </si>
  <si>
    <t>Shirt</t>
  </si>
  <si>
    <t>Shoelace</t>
  </si>
  <si>
    <t>Short</t>
  </si>
  <si>
    <t>Shower</t>
  </si>
  <si>
    <t>Shrink</t>
  </si>
  <si>
    <t>Sick</t>
  </si>
  <si>
    <t>Siesta</t>
  </si>
  <si>
    <t>Silhouette</t>
  </si>
  <si>
    <t>Singer</t>
  </si>
  <si>
    <t>Sip</t>
  </si>
  <si>
    <t>Skate</t>
  </si>
  <si>
    <t>Skating</t>
  </si>
  <si>
    <t>Ski</t>
  </si>
  <si>
    <t>Slam</t>
  </si>
  <si>
    <t>Sleep</t>
  </si>
  <si>
    <t>Sling</t>
  </si>
  <si>
    <t>Slow</t>
  </si>
  <si>
    <t>Slump</t>
  </si>
  <si>
    <t>Smith</t>
  </si>
  <si>
    <t>Sneeze</t>
  </si>
  <si>
    <t>Snow</t>
  </si>
  <si>
    <t>Snuggle</t>
  </si>
  <si>
    <t>Song</t>
  </si>
  <si>
    <t>Space</t>
  </si>
  <si>
    <t>Spare</t>
  </si>
  <si>
    <t>Speakers</t>
  </si>
  <si>
    <t>Spider</t>
  </si>
  <si>
    <t>Spit</t>
  </si>
  <si>
    <t>Sponge</t>
  </si>
  <si>
    <t>Spool</t>
  </si>
  <si>
    <t>Spoon</t>
  </si>
  <si>
    <t>Spring</t>
  </si>
  <si>
    <t>Sprinkler</t>
  </si>
  <si>
    <t>Spy</t>
  </si>
  <si>
    <t>Square</t>
  </si>
  <si>
    <t>Squint</t>
  </si>
  <si>
    <t>Stairs</t>
  </si>
  <si>
    <t>Standing</t>
  </si>
  <si>
    <t>Star</t>
  </si>
  <si>
    <t>State</t>
  </si>
  <si>
    <t>Stick</t>
  </si>
  <si>
    <t>Stockholder</t>
  </si>
  <si>
    <t>Stoplight</t>
  </si>
  <si>
    <t>Stout</t>
  </si>
  <si>
    <t>Stove</t>
  </si>
  <si>
    <t>Stowaway</t>
  </si>
  <si>
    <t>Straw</t>
  </si>
  <si>
    <t>Stream</t>
  </si>
  <si>
    <t>Streamline</t>
  </si>
  <si>
    <t>Stripe</t>
  </si>
  <si>
    <t>Student</t>
  </si>
  <si>
    <t>Sun</t>
  </si>
  <si>
    <t>Sunburn</t>
  </si>
  <si>
    <t>Sushi</t>
  </si>
  <si>
    <t>Swamp</t>
  </si>
  <si>
    <t>Swarm</t>
  </si>
  <si>
    <t>Sweater</t>
  </si>
  <si>
    <t>Swimming</t>
  </si>
  <si>
    <t>Swing</t>
  </si>
  <si>
    <t>Tachometer</t>
  </si>
  <si>
    <t>Talk</t>
  </si>
  <si>
    <t>Taxi</t>
  </si>
  <si>
    <t>Teacher</t>
  </si>
  <si>
    <t>Teapot</t>
  </si>
  <si>
    <t>Teenager</t>
  </si>
  <si>
    <t>Telephone</t>
  </si>
  <si>
    <t>Ten</t>
  </si>
  <si>
    <t>Tennis</t>
  </si>
  <si>
    <t>Thief</t>
  </si>
  <si>
    <t>Think</t>
  </si>
  <si>
    <t>Throne</t>
  </si>
  <si>
    <t>Through</t>
  </si>
  <si>
    <t>Thunder</t>
  </si>
  <si>
    <t>Tide</t>
  </si>
  <si>
    <t>Tiger</t>
  </si>
  <si>
    <t>Time</t>
  </si>
  <si>
    <t>Tinting</t>
  </si>
  <si>
    <t>Tiptoe</t>
  </si>
  <si>
    <t>Tiptop</t>
  </si>
  <si>
    <t>Tired</t>
  </si>
  <si>
    <t>Tissue</t>
  </si>
  <si>
    <t>Toast</t>
  </si>
  <si>
    <t>Toilet</t>
  </si>
  <si>
    <t>Tool</t>
  </si>
  <si>
    <t>Toothbrush</t>
  </si>
  <si>
    <t>Tornado</t>
  </si>
  <si>
    <t>Tournament</t>
  </si>
  <si>
    <t>Tractor</t>
  </si>
  <si>
    <t>Train</t>
  </si>
  <si>
    <t>Trash</t>
  </si>
  <si>
    <t>Treasure</t>
  </si>
  <si>
    <t>Tree</t>
  </si>
  <si>
    <t>Triangle</t>
  </si>
  <si>
    <t>Trip</t>
  </si>
  <si>
    <t>Truck</t>
  </si>
  <si>
    <t>Tub</t>
  </si>
  <si>
    <t>Tuba</t>
  </si>
  <si>
    <t>Tutor</t>
  </si>
  <si>
    <t>Television</t>
  </si>
  <si>
    <t>Twang</t>
  </si>
  <si>
    <t>Twig</t>
  </si>
  <si>
    <t>Twitterpated</t>
  </si>
  <si>
    <t>Type</t>
  </si>
  <si>
    <t>Unemployed</t>
  </si>
  <si>
    <t>Upgrade</t>
  </si>
  <si>
    <t>Vest</t>
  </si>
  <si>
    <t>Vision</t>
  </si>
  <si>
    <t>Wag</t>
  </si>
  <si>
    <t>Water</t>
  </si>
  <si>
    <t>Watermelon</t>
  </si>
  <si>
    <t>Wax</t>
  </si>
  <si>
    <t>Wedding</t>
  </si>
  <si>
    <t>Weed</t>
  </si>
  <si>
    <t>Welder</t>
  </si>
  <si>
    <t>Whatever</t>
  </si>
  <si>
    <t>Wheelchair</t>
  </si>
  <si>
    <t>Whiplash</t>
  </si>
  <si>
    <t>Whisk</t>
  </si>
  <si>
    <t>Whistle</t>
  </si>
  <si>
    <t>White</t>
  </si>
  <si>
    <t>Wig</t>
  </si>
  <si>
    <t>Will</t>
  </si>
  <si>
    <t>Windmill</t>
  </si>
  <si>
    <t>Winter</t>
  </si>
  <si>
    <t>Wish</t>
  </si>
  <si>
    <t>Wolf</t>
  </si>
  <si>
    <t>Wool</t>
  </si>
  <si>
    <t>World</t>
  </si>
  <si>
    <t>Worm</t>
  </si>
  <si>
    <t>Wristwatch</t>
  </si>
  <si>
    <t>Yardstick</t>
  </si>
  <si>
    <t>Zamboni</t>
  </si>
  <si>
    <t>Zen</t>
  </si>
  <si>
    <t>Zero</t>
  </si>
  <si>
    <t>Zipper</t>
  </si>
  <si>
    <t>Zone</t>
  </si>
  <si>
    <t>Zoo</t>
  </si>
  <si>
    <t>Game Info</t>
  </si>
  <si>
    <t>Random Number</t>
  </si>
  <si>
    <t>Total Words Count</t>
  </si>
  <si>
    <t>Board Word Count</t>
  </si>
  <si>
    <t>Board Cards Info</t>
  </si>
  <si>
    <t>Code Number</t>
  </si>
  <si>
    <t>Code Identities</t>
  </si>
  <si>
    <t>Code</t>
  </si>
  <si>
    <t>Identity</t>
  </si>
  <si>
    <t>Assassin</t>
  </si>
  <si>
    <t>Blue</t>
  </si>
  <si>
    <t>Bystander</t>
  </si>
  <si>
    <t>Current Game Info</t>
  </si>
  <si>
    <t>Extra Card</t>
  </si>
  <si>
    <t>Total</t>
  </si>
  <si>
    <t>Total Spy Cards</t>
  </si>
  <si>
    <t>Total Assassin Cards</t>
  </si>
  <si>
    <t>Left</t>
  </si>
  <si>
    <t>Code Card</t>
  </si>
  <si>
    <t>card_assassin</t>
  </si>
  <si>
    <t>card_bystander</t>
  </si>
  <si>
    <t>card_red</t>
  </si>
  <si>
    <t>card_blue</t>
  </si>
  <si>
    <t xml:space="preserve">  </t>
  </si>
  <si>
    <t>To Win</t>
  </si>
  <si>
    <t>Opened</t>
  </si>
  <si>
    <t>Win Condition</t>
  </si>
  <si>
    <t>Word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</si>
</sst>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0" xfId="0" applyFont="1"/>
    <xf numFmtId="0" fontId="2" fillId="2" borderId="2" xfId="0" applyFont="1" applyFill="1" applyBorder="1" applyAlignment="1">
      <alignment horizontal="center" vertical="center"/>
    </xf>
    <xf numFmtId="0" fontId="0" fillId="3" borderId="1" xfId="0" applyFill="1" applyBorder="1"/>
    <xf numFmtId="0" fontId="0" fillId="0" borderId="1" xfId="0" applyFill="1" applyBorder="1"/>
    <xf numFmtId="0" fontId="0" fillId="0" borderId="0" xfId="0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5" tint="0.59996337778862885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4"/>
      </font>
      <fill>
        <patternFill>
          <bgColor theme="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g"/><Relationship Id="rId1" Type="http://schemas.openxmlformats.org/officeDocument/2006/relationships/image" Target="../media/image2.jpg"/><Relationship Id="rId4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133349</xdr:colOff>
      <xdr:row>3</xdr:row>
      <xdr:rowOff>219075</xdr:rowOff>
    </xdr:from>
    <xdr:to>
      <xdr:col>39</xdr:col>
      <xdr:colOff>308609</xdr:colOff>
      <xdr:row>3</xdr:row>
      <xdr:rowOff>1133475</xdr:rowOff>
    </xdr:to>
    <xdr:sp macro="[0]!generateGame" textlink="">
      <xdr:nvSpPr>
        <xdr:cNvPr id="2" name="newGameButton"/>
        <xdr:cNvSpPr/>
      </xdr:nvSpPr>
      <xdr:spPr>
        <a:xfrm>
          <a:off x="14401799" y="600075"/>
          <a:ext cx="2651760" cy="9144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New</a:t>
          </a:r>
          <a:r>
            <a:rPr lang="en-US" sz="2000" baseline="0"/>
            <a:t> Game</a:t>
          </a:r>
          <a:endParaRPr lang="en-US" sz="2000"/>
        </a:p>
      </xdr:txBody>
    </xdr:sp>
    <xdr:clientData/>
  </xdr:twoCellAnchor>
  <xdr:twoCellAnchor editAs="oneCell">
    <xdr:from>
      <xdr:col>3</xdr:col>
      <xdr:colOff>159067</xdr:colOff>
      <xdr:row>3</xdr:row>
      <xdr:rowOff>117159</xdr:rowOff>
    </xdr:from>
    <xdr:to>
      <xdr:col>10</xdr:col>
      <xdr:colOff>28574</xdr:colOff>
      <xdr:row>11</xdr:row>
      <xdr:rowOff>1260847</xdr:rowOff>
    </xdr:to>
    <xdr:pic>
      <xdr:nvPicPr>
        <xdr:cNvPr id="20" name="game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2554473" y="3783199"/>
          <a:ext cx="7773088" cy="12030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26</xdr:col>
      <xdr:colOff>0</xdr:colOff>
      <xdr:row>7</xdr:row>
      <xdr:rowOff>800100</xdr:rowOff>
    </xdr:from>
    <xdr:to>
      <xdr:col>39</xdr:col>
      <xdr:colOff>373119</xdr:colOff>
      <xdr:row>9</xdr:row>
      <xdr:rowOff>1115123</xdr:rowOff>
    </xdr:to>
    <xdr:grpSp>
      <xdr:nvGrpSpPr>
        <xdr:cNvPr id="27" name="Group 26"/>
        <xdr:cNvGrpSpPr/>
      </xdr:nvGrpSpPr>
      <xdr:grpSpPr>
        <a:xfrm>
          <a:off x="14268450" y="4495800"/>
          <a:ext cx="2849619" cy="1972373"/>
          <a:chOff x="14228956" y="4487437"/>
          <a:chExt cx="2837539" cy="1969120"/>
        </a:xfrm>
      </xdr:grpSpPr>
      <xdr:sp macro="" textlink="">
        <xdr:nvSpPr>
          <xdr:cNvPr id="21" name="Rectangle 20"/>
          <xdr:cNvSpPr/>
        </xdr:nvSpPr>
        <xdr:spPr>
          <a:xfrm>
            <a:off x="14228956" y="4487437"/>
            <a:ext cx="2836127" cy="656992"/>
          </a:xfrm>
          <a:prstGeom prst="rect">
            <a:avLst/>
          </a:prstGeom>
          <a:ln/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="1">
                <a:solidFill>
                  <a:schemeClr val="bg1"/>
                </a:solidFill>
              </a:rPr>
              <a:t>To</a:t>
            </a:r>
            <a:r>
              <a:rPr lang="en-US" sz="2800" b="1" baseline="0">
                <a:solidFill>
                  <a:schemeClr val="bg1"/>
                </a:solidFill>
              </a:rPr>
              <a:t> Win</a:t>
            </a:r>
            <a:endParaRPr lang="en-US" sz="2800" b="1">
              <a:solidFill>
                <a:schemeClr val="bg1"/>
              </a:solidFill>
            </a:endParaRPr>
          </a:p>
        </xdr:txBody>
      </xdr:sp>
      <xdr:sp macro="" textlink="">
        <xdr:nvSpPr>
          <xdr:cNvPr id="22" name="Rectangle 21"/>
          <xdr:cNvSpPr/>
        </xdr:nvSpPr>
        <xdr:spPr>
          <a:xfrm>
            <a:off x="14228957" y="5144429"/>
            <a:ext cx="2180528" cy="654205"/>
          </a:xfrm>
          <a:prstGeom prst="rect">
            <a:avLst/>
          </a:prstGeom>
          <a:solidFill>
            <a:srgbClr val="FF00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="1">
                <a:solidFill>
                  <a:schemeClr val="bg1"/>
                </a:solidFill>
              </a:rPr>
              <a:t>Red</a:t>
            </a:r>
          </a:p>
        </xdr:txBody>
      </xdr:sp>
      <xdr:sp macro="" textlink="">
        <xdr:nvSpPr>
          <xdr:cNvPr id="24" name="Rectangle 23"/>
          <xdr:cNvSpPr/>
        </xdr:nvSpPr>
        <xdr:spPr>
          <a:xfrm>
            <a:off x="14228957" y="5798634"/>
            <a:ext cx="2180528" cy="657225"/>
          </a:xfrm>
          <a:prstGeom prst="rect">
            <a:avLst/>
          </a:prstGeom>
          <a:solidFill>
            <a:srgbClr val="0070C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="1">
                <a:solidFill>
                  <a:schemeClr val="bg1"/>
                </a:solidFill>
              </a:rPr>
              <a:t>Blue</a:t>
            </a:r>
          </a:p>
        </xdr:txBody>
      </xdr:sp>
      <xdr:sp macro="" textlink="Control!U7">
        <xdr:nvSpPr>
          <xdr:cNvPr id="25" name="Rectangle 24"/>
          <xdr:cNvSpPr/>
        </xdr:nvSpPr>
        <xdr:spPr>
          <a:xfrm>
            <a:off x="16411110" y="5144429"/>
            <a:ext cx="655385" cy="654206"/>
          </a:xfrm>
          <a:prstGeom prst="rect">
            <a:avLst/>
          </a:prstGeom>
          <a:solidFill>
            <a:srgbClr val="FF00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BDFF432-764E-436E-A8C6-E5FCF3142D22}" type="TxLink">
              <a:rPr lang="en-US" sz="2800" b="1" i="0" u="none" strike="noStrike">
                <a:solidFill>
                  <a:schemeClr val="bg1"/>
                </a:solidFill>
                <a:latin typeface="Calibri"/>
              </a:rPr>
              <a:pPr algn="ctr"/>
              <a:t>8</a:t>
            </a:fld>
            <a:endParaRPr lang="en-US" sz="2800" b="1">
              <a:solidFill>
                <a:schemeClr val="bg1"/>
              </a:solidFill>
            </a:endParaRPr>
          </a:p>
        </xdr:txBody>
      </xdr:sp>
      <xdr:sp macro="" textlink="Control!U8">
        <xdr:nvSpPr>
          <xdr:cNvPr id="26" name="Rectangle 25"/>
          <xdr:cNvSpPr/>
        </xdr:nvSpPr>
        <xdr:spPr>
          <a:xfrm>
            <a:off x="16411110" y="5802351"/>
            <a:ext cx="655385" cy="654206"/>
          </a:xfrm>
          <a:prstGeom prst="rect">
            <a:avLst/>
          </a:prstGeom>
          <a:solidFill>
            <a:srgbClr val="0070C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DA03F41-D70A-4541-A04E-C467A3C03B37}" type="TxLink">
              <a:rPr lang="en-US" sz="2800" b="1" i="0" u="none" strike="noStrike">
                <a:solidFill>
                  <a:schemeClr val="bg1"/>
                </a:solidFill>
                <a:latin typeface="Calibri"/>
              </a:rPr>
              <a:pPr algn="ctr"/>
              <a:t>9</a:t>
            </a:fld>
            <a:endParaRPr lang="en-US" sz="28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26</xdr:col>
      <xdr:colOff>133349</xdr:colOff>
      <xdr:row>5</xdr:row>
      <xdr:rowOff>19050</xdr:rowOff>
    </xdr:from>
    <xdr:to>
      <xdr:col>39</xdr:col>
      <xdr:colOff>308609</xdr:colOff>
      <xdr:row>5</xdr:row>
      <xdr:rowOff>933450</xdr:rowOff>
    </xdr:to>
    <xdr:sp macro="[0]!openQuestionCardInNewWorkbook" textlink="">
      <xdr:nvSpPr>
        <xdr:cNvPr id="10" name="newGameButton"/>
        <xdr:cNvSpPr/>
      </xdr:nvSpPr>
      <xdr:spPr>
        <a:xfrm>
          <a:off x="14401799" y="2057400"/>
          <a:ext cx="2651760" cy="9144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Create Question Card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190500</xdr:colOff>
      <xdr:row>11</xdr:row>
      <xdr:rowOff>89040</xdr:rowOff>
    </xdr:from>
    <xdr:to>
      <xdr:col>11</xdr:col>
      <xdr:colOff>476250</xdr:colOff>
      <xdr:row>19</xdr:row>
      <xdr:rowOff>85040</xdr:rowOff>
    </xdr:to>
    <xdr:pic>
      <xdr:nvPicPr>
        <xdr:cNvPr id="2" name="card_assassi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7640" y="2100720"/>
          <a:ext cx="2114550" cy="1459040"/>
        </a:xfrm>
        <a:prstGeom prst="rect">
          <a:avLst/>
        </a:prstGeom>
      </xdr:spPr>
    </xdr:pic>
    <xdr:clientData/>
  </xdr:twoCellAnchor>
  <xdr:twoCellAnchor editAs="oneCell">
    <xdr:from>
      <xdr:col>8</xdr:col>
      <xdr:colOff>182880</xdr:colOff>
      <xdr:row>2</xdr:row>
      <xdr:rowOff>106680</xdr:rowOff>
    </xdr:from>
    <xdr:to>
      <xdr:col>11</xdr:col>
      <xdr:colOff>474428</xdr:colOff>
      <xdr:row>10</xdr:row>
      <xdr:rowOff>106680</xdr:rowOff>
    </xdr:to>
    <xdr:pic>
      <xdr:nvPicPr>
        <xdr:cNvPr id="3" name="card_blue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0020" y="472440"/>
          <a:ext cx="2120348" cy="1463040"/>
        </a:xfrm>
        <a:prstGeom prst="rect">
          <a:avLst/>
        </a:prstGeom>
      </xdr:spPr>
    </xdr:pic>
    <xdr:clientData/>
  </xdr:twoCellAnchor>
  <xdr:twoCellAnchor editAs="oneCell">
    <xdr:from>
      <xdr:col>12</xdr:col>
      <xdr:colOff>141180</xdr:colOff>
      <xdr:row>2</xdr:row>
      <xdr:rowOff>96660</xdr:rowOff>
    </xdr:from>
    <xdr:to>
      <xdr:col>15</xdr:col>
      <xdr:colOff>432728</xdr:colOff>
      <xdr:row>10</xdr:row>
      <xdr:rowOff>96660</xdr:rowOff>
    </xdr:to>
    <xdr:pic>
      <xdr:nvPicPr>
        <xdr:cNvPr id="4" name="card_red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6720" y="462420"/>
          <a:ext cx="2120348" cy="1463040"/>
        </a:xfrm>
        <a:prstGeom prst="rect">
          <a:avLst/>
        </a:prstGeom>
      </xdr:spPr>
    </xdr:pic>
    <xdr:clientData/>
  </xdr:twoCellAnchor>
  <xdr:twoCellAnchor editAs="oneCell">
    <xdr:from>
      <xdr:col>12</xdr:col>
      <xdr:colOff>141180</xdr:colOff>
      <xdr:row>11</xdr:row>
      <xdr:rowOff>87040</xdr:rowOff>
    </xdr:from>
    <xdr:to>
      <xdr:col>15</xdr:col>
      <xdr:colOff>432728</xdr:colOff>
      <xdr:row>19</xdr:row>
      <xdr:rowOff>87040</xdr:rowOff>
    </xdr:to>
    <xdr:pic>
      <xdr:nvPicPr>
        <xdr:cNvPr id="5" name="card_bystander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6720" y="2098720"/>
          <a:ext cx="2120348" cy="14630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Board"/>
  <dimension ref="M2:X14"/>
  <sheetViews>
    <sheetView showGridLines="0" showRowColHeaders="0" tabSelected="1" zoomScale="80" zoomScaleNormal="80" workbookViewId="0"/>
  </sheetViews>
  <sheetFormatPr defaultRowHeight="14.4" x14ac:dyDescent="0.3"/>
  <cols>
    <col min="1" max="12" width="2.77734375" customWidth="1"/>
    <col min="13" max="13" width="2.77734375" hidden="1" customWidth="1"/>
    <col min="14" max="15" width="2.77734375" customWidth="1"/>
    <col min="16" max="16" width="30.77734375" customWidth="1"/>
    <col min="17" max="17" width="2.33203125" customWidth="1"/>
    <col min="18" max="18" width="30.77734375" customWidth="1"/>
    <col min="19" max="19" width="2.33203125" customWidth="1"/>
    <col min="20" max="20" width="30.77734375" customWidth="1"/>
    <col min="21" max="21" width="2.33203125" customWidth="1"/>
    <col min="22" max="22" width="30.77734375" customWidth="1"/>
    <col min="23" max="23" width="2.33203125" customWidth="1"/>
    <col min="24" max="24" width="30.77734375" customWidth="1"/>
    <col min="25" max="39" width="2.77734375" customWidth="1"/>
  </cols>
  <sheetData>
    <row r="2" spans="13:24" hidden="1" x14ac:dyDescent="0.3">
      <c r="P2">
        <v>1</v>
      </c>
      <c r="R2">
        <v>2</v>
      </c>
      <c r="T2">
        <v>3</v>
      </c>
      <c r="V2">
        <v>4</v>
      </c>
      <c r="X2">
        <v>5</v>
      </c>
    </row>
    <row r="3" spans="13:24" ht="16.05" customHeight="1" thickBot="1" x14ac:dyDescent="0.35"/>
    <row r="4" spans="13:24" ht="114.6" customHeight="1" thickBot="1" x14ac:dyDescent="0.35">
      <c r="M4">
        <v>1</v>
      </c>
      <c r="P4" s="3" t="str">
        <f ca="1">OFFSET(Ctrl_BoardCardInfo_Start,P$2+(5*($M4-1)),2)</f>
        <v>Humidifier</v>
      </c>
      <c r="R4" s="3" t="str">
        <f ca="1">OFFSET(Ctrl_BoardCardInfo_Start,R$2+(5*($M4-1)),2)</f>
        <v>Cd</v>
      </c>
      <c r="T4" s="3" t="str">
        <f ca="1">OFFSET(Ctrl_BoardCardInfo_Start,T$2+(5*($M4-1)),2)</f>
        <v>Square</v>
      </c>
      <c r="V4" s="3" t="str">
        <f ca="1">OFFSET(Ctrl_BoardCardInfo_Start,V$2+(5*($M4-1)),2)</f>
        <v>Hat</v>
      </c>
      <c r="X4" s="3" t="str">
        <f ca="1">OFFSET(Ctrl_BoardCardInfo_Start,X$2+(5*($M4-1)),2)</f>
        <v>Curtain</v>
      </c>
    </row>
    <row r="5" spans="13:24" ht="16.05" customHeight="1" thickBot="1" x14ac:dyDescent="0.35"/>
    <row r="6" spans="13:24" ht="114.6" customHeight="1" thickBot="1" x14ac:dyDescent="0.35">
      <c r="M6">
        <v>2</v>
      </c>
      <c r="P6" s="3" t="str">
        <f ca="1">OFFSET(Ctrl_BoardCardInfo_Start,P$2+(5*($M6-1)),2)</f>
        <v>Treasure</v>
      </c>
      <c r="R6" s="3" t="str">
        <f ca="1">OFFSET(Ctrl_BoardCardInfo_Start,R$2+(5*($M6-1)),2)</f>
        <v>Doll</v>
      </c>
      <c r="T6" s="3" t="str">
        <f ca="1">OFFSET(Ctrl_BoardCardInfo_Start,T$2+(5*($M6-1)),2)</f>
        <v>Chocolate</v>
      </c>
      <c r="V6" s="3" t="str">
        <f ca="1">OFFSET(Ctrl_BoardCardInfo_Start,V$2+(5*($M6-1)),2)</f>
        <v>Can</v>
      </c>
      <c r="X6" s="3" t="str">
        <f ca="1">OFFSET(Ctrl_BoardCardInfo_Start,X$2+(5*($M6-1)),2)</f>
        <v>Spider</v>
      </c>
    </row>
    <row r="7" spans="13:24" ht="16.05" customHeight="1" thickBot="1" x14ac:dyDescent="0.35"/>
    <row r="8" spans="13:24" ht="114.6" customHeight="1" thickBot="1" x14ac:dyDescent="0.35">
      <c r="M8">
        <v>3</v>
      </c>
      <c r="P8" s="3" t="str">
        <f ca="1">OFFSET(Ctrl_BoardCardInfo_Start,P$2+(5*($M8-1)),2)</f>
        <v>Tool</v>
      </c>
      <c r="R8" s="3" t="str">
        <f ca="1">OFFSET(Ctrl_BoardCardInfo_Start,R$2+(5*($M8-1)),2)</f>
        <v>Fix</v>
      </c>
      <c r="T8" s="3" t="str">
        <f ca="1">OFFSET(Ctrl_BoardCardInfo_Start,T$2+(5*($M8-1)),2)</f>
        <v>Mammoth</v>
      </c>
      <c r="V8" s="3" t="str">
        <f ca="1">OFFSET(Ctrl_BoardCardInfo_Start,V$2+(5*($M8-1)),2)</f>
        <v>Dust</v>
      </c>
      <c r="X8" s="3" t="str">
        <f ca="1">OFFSET(Ctrl_BoardCardInfo_Start,X$2+(5*($M8-1)),2)</f>
        <v>Tachometer</v>
      </c>
    </row>
    <row r="9" spans="13:24" ht="16.05" customHeight="1" thickBot="1" x14ac:dyDescent="0.35"/>
    <row r="10" spans="13:24" ht="114.6" customHeight="1" thickBot="1" x14ac:dyDescent="0.35">
      <c r="M10">
        <v>4</v>
      </c>
      <c r="P10" s="3" t="str">
        <f ca="1">OFFSET(Ctrl_BoardCardInfo_Start,P$2+(5*($M10-1)),2)</f>
        <v>Rink</v>
      </c>
      <c r="R10" s="3" t="str">
        <f ca="1">OFFSET(Ctrl_BoardCardInfo_Start,R$2+(5*($M10-1)),2)</f>
        <v>Philosopher</v>
      </c>
      <c r="T10" s="3" t="str">
        <f ca="1">OFFSET(Ctrl_BoardCardInfo_Start,T$2+(5*($M10-1)),2)</f>
        <v>China</v>
      </c>
      <c r="V10" s="3" t="str">
        <f ca="1">OFFSET(Ctrl_BoardCardInfo_Start,V$2+(5*($M10-1)),2)</f>
        <v>Sheep</v>
      </c>
      <c r="X10" s="3" t="str">
        <f ca="1">OFFSET(Ctrl_BoardCardInfo_Start,X$2+(5*($M10-1)),2)</f>
        <v>Monster</v>
      </c>
    </row>
    <row r="11" spans="13:24" ht="16.05" customHeight="1" thickBot="1" x14ac:dyDescent="0.35"/>
    <row r="12" spans="13:24" ht="114.6" customHeight="1" thickBot="1" x14ac:dyDescent="0.35">
      <c r="M12">
        <v>5</v>
      </c>
      <c r="P12" s="3" t="str">
        <f ca="1">OFFSET(Ctrl_BoardCardInfo_Start,P$2+(5*($M12-1)),2)</f>
        <v>Silhouette</v>
      </c>
      <c r="R12" s="3" t="str">
        <f ca="1">OFFSET(Ctrl_BoardCardInfo_Start,R$2+(5*($M12-1)),2)</f>
        <v>Birthday</v>
      </c>
      <c r="T12" s="3" t="str">
        <f ca="1">OFFSET(Ctrl_BoardCardInfo_Start,T$2+(5*($M12-1)),2)</f>
        <v>Cuff</v>
      </c>
      <c r="V12" s="3" t="str">
        <f ca="1">OFFSET(Ctrl_BoardCardInfo_Start,V$2+(5*($M12-1)),2)</f>
        <v>Boa</v>
      </c>
      <c r="X12" s="3" t="str">
        <f ca="1">OFFSET(Ctrl_BoardCardInfo_Start,X$2+(5*($M12-1)),2)</f>
        <v>Wedding</v>
      </c>
    </row>
    <row r="13" spans="13:24" ht="16.05" customHeight="1" x14ac:dyDescent="0.3"/>
    <row r="14" spans="13:24" ht="14.4" customHeight="1" x14ac:dyDescent="0.3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Control"/>
  <dimension ref="B2:U29"/>
  <sheetViews>
    <sheetView workbookViewId="0"/>
  </sheetViews>
  <sheetFormatPr defaultRowHeight="14.4" x14ac:dyDescent="0.3"/>
  <cols>
    <col min="1" max="1" width="2.77734375" customWidth="1"/>
    <col min="2" max="3" width="20.77734375" customWidth="1"/>
    <col min="4" max="5" width="2.77734375" customWidth="1"/>
    <col min="6" max="6" width="4.77734375" bestFit="1" customWidth="1"/>
    <col min="7" max="7" width="14.88671875" customWidth="1"/>
    <col min="8" max="8" width="20.77734375" customWidth="1"/>
    <col min="9" max="9" width="12.21875" customWidth="1"/>
    <col min="10" max="11" width="15.77734375" customWidth="1"/>
    <col min="12" max="12" width="7.77734375" customWidth="1"/>
    <col min="13" max="13" width="10.88671875" customWidth="1"/>
    <col min="14" max="15" width="2.77734375" customWidth="1"/>
  </cols>
  <sheetData>
    <row r="2" spans="2:21" x14ac:dyDescent="0.3">
      <c r="B2" s="2" t="s">
        <v>675</v>
      </c>
      <c r="F2" s="2" t="s">
        <v>679</v>
      </c>
      <c r="P2" s="2" t="s">
        <v>681</v>
      </c>
    </row>
    <row r="4" spans="2:21" x14ac:dyDescent="0.3">
      <c r="B4" s="1" t="s">
        <v>678</v>
      </c>
      <c r="C4" s="1">
        <v>25</v>
      </c>
      <c r="F4" s="1" t="s">
        <v>0</v>
      </c>
      <c r="G4" s="1" t="s">
        <v>676</v>
      </c>
      <c r="H4" s="1" t="s">
        <v>1</v>
      </c>
      <c r="I4" s="5" t="s">
        <v>680</v>
      </c>
      <c r="J4" s="5" t="s">
        <v>1</v>
      </c>
      <c r="K4" s="5" t="s">
        <v>693</v>
      </c>
      <c r="L4" s="5" t="s">
        <v>700</v>
      </c>
      <c r="M4" s="5" t="s">
        <v>702</v>
      </c>
      <c r="P4" t="s">
        <v>682</v>
      </c>
      <c r="Q4" t="s">
        <v>683</v>
      </c>
      <c r="R4" t="s">
        <v>689</v>
      </c>
      <c r="S4" t="s">
        <v>692</v>
      </c>
      <c r="T4" t="s">
        <v>0</v>
      </c>
      <c r="U4" t="s">
        <v>699</v>
      </c>
    </row>
    <row r="5" spans="2:21" x14ac:dyDescent="0.3">
      <c r="B5" s="1" t="s">
        <v>677</v>
      </c>
      <c r="C5" s="1">
        <f>COUNTA(Database!$B:$B)-1</f>
        <v>673</v>
      </c>
      <c r="F5" s="1">
        <v>1</v>
      </c>
      <c r="G5" s="4">
        <v>294</v>
      </c>
      <c r="H5" s="1" t="str">
        <f t="shared" ref="H5:H29" ca="1" si="0">IF($G5="","",INDEX(DB_CodeNamesList,$G5))</f>
        <v>Humidifier</v>
      </c>
      <c r="I5" s="4">
        <v>3</v>
      </c>
      <c r="J5" s="1" t="str">
        <f>IFERROR(VLOOKUP($I5,$P$5:$Q$8,2,FALSE),"--Error--")</f>
        <v>Red</v>
      </c>
      <c r="K5" s="1" t="str">
        <f t="shared" ref="K5:K29" si="1">IFERROR(VLOOKUP($I5,$P$5:$T$8,5,FALSE),"--Error--")</f>
        <v>card_red</v>
      </c>
      <c r="L5" s="5" t="b">
        <v>0</v>
      </c>
      <c r="M5" s="5">
        <f ca="1">COUNTIF($H$5:$H$29,H5)</f>
        <v>1</v>
      </c>
      <c r="P5">
        <v>1</v>
      </c>
      <c r="Q5" t="s">
        <v>684</v>
      </c>
      <c r="R5">
        <f>Ctrl_TotalAssassinCount</f>
        <v>1</v>
      </c>
      <c r="S5">
        <f>$R5-COUNTIF($J$5:$J$29,$Q5)</f>
        <v>0</v>
      </c>
      <c r="T5" t="s">
        <v>694</v>
      </c>
      <c r="U5">
        <f>COUNTIFS($L$5:$L$29,FALSE,$J$5:$J$29,Q5)</f>
        <v>1</v>
      </c>
    </row>
    <row r="6" spans="2:21" x14ac:dyDescent="0.3">
      <c r="B6" s="5" t="s">
        <v>690</v>
      </c>
      <c r="C6" s="1">
        <v>8</v>
      </c>
      <c r="F6" s="1">
        <v>2</v>
      </c>
      <c r="G6" s="4">
        <v>104</v>
      </c>
      <c r="H6" s="1" t="str">
        <f t="shared" ca="1" si="0"/>
        <v>Cd</v>
      </c>
      <c r="I6" s="4">
        <v>4</v>
      </c>
      <c r="J6" s="1" t="str">
        <f t="shared" ref="J6:J29" si="2">IFERROR(VLOOKUP($I6,$P$5:$Q$8,2,FALSE),"--Error--")</f>
        <v>Blue</v>
      </c>
      <c r="K6" s="1" t="str">
        <f t="shared" si="1"/>
        <v>card_blue</v>
      </c>
      <c r="L6" s="5" t="b">
        <v>0</v>
      </c>
      <c r="M6" s="5">
        <f t="shared" ref="M6:M29" ca="1" si="3">COUNTIF($H$5:$H$29,H6)</f>
        <v>1</v>
      </c>
      <c r="P6">
        <v>2</v>
      </c>
      <c r="Q6" t="s">
        <v>686</v>
      </c>
      <c r="R6">
        <f>Ctrl_BoardWordCount-$R$5-$R$7-$R$8</f>
        <v>7</v>
      </c>
      <c r="S6">
        <f t="shared" ref="S6:S8" si="4">$R6-COUNTIF($J$5:$J$29,$Q6)</f>
        <v>0</v>
      </c>
      <c r="T6" t="s">
        <v>695</v>
      </c>
      <c r="U6">
        <f t="shared" ref="U6:U8" si="5">COUNTIFS($L$5:$L$29,FALSE,$J$5:$J$29,Q6)</f>
        <v>7</v>
      </c>
    </row>
    <row r="7" spans="2:21" x14ac:dyDescent="0.3">
      <c r="B7" s="5" t="s">
        <v>691</v>
      </c>
      <c r="C7" s="1">
        <v>1</v>
      </c>
      <c r="F7" s="1">
        <v>3</v>
      </c>
      <c r="G7" s="4">
        <v>571</v>
      </c>
      <c r="H7" s="1" t="str">
        <f t="shared" ca="1" si="0"/>
        <v>Square</v>
      </c>
      <c r="I7" s="4">
        <v>4</v>
      </c>
      <c r="J7" s="1" t="str">
        <f t="shared" si="2"/>
        <v>Blue</v>
      </c>
      <c r="K7" s="1" t="str">
        <f t="shared" si="1"/>
        <v>card_blue</v>
      </c>
      <c r="L7" s="5" t="b">
        <v>0</v>
      </c>
      <c r="M7" s="5">
        <f t="shared" ca="1" si="3"/>
        <v>1</v>
      </c>
      <c r="P7">
        <v>3</v>
      </c>
      <c r="Q7" t="s">
        <v>494</v>
      </c>
      <c r="R7">
        <f>IF(Ctrl_Game_ExtraCard=$Q7,Ctrl_TotalTeamSpyCount+1,Ctrl_TotalTeamSpyCount)</f>
        <v>8</v>
      </c>
      <c r="S7">
        <f t="shared" si="4"/>
        <v>0</v>
      </c>
      <c r="T7" t="s">
        <v>696</v>
      </c>
      <c r="U7">
        <f t="shared" si="5"/>
        <v>8</v>
      </c>
    </row>
    <row r="8" spans="2:21" x14ac:dyDescent="0.3">
      <c r="F8" s="1">
        <v>4</v>
      </c>
      <c r="G8" s="4">
        <v>275</v>
      </c>
      <c r="H8" s="1" t="str">
        <f t="shared" ca="1" si="0"/>
        <v>Hat</v>
      </c>
      <c r="I8" s="4">
        <v>2</v>
      </c>
      <c r="J8" s="1" t="str">
        <f t="shared" si="2"/>
        <v>Bystander</v>
      </c>
      <c r="K8" s="1" t="str">
        <f t="shared" si="1"/>
        <v>card_bystander</v>
      </c>
      <c r="L8" s="5" t="b">
        <v>0</v>
      </c>
      <c r="M8" s="5">
        <f t="shared" ca="1" si="3"/>
        <v>1</v>
      </c>
      <c r="P8">
        <v>4</v>
      </c>
      <c r="Q8" t="s">
        <v>685</v>
      </c>
      <c r="R8">
        <f>IF(Ctrl_Game_ExtraCard=$Q8,Ctrl_TotalTeamSpyCount+1,Ctrl_TotalTeamSpyCount)</f>
        <v>9</v>
      </c>
      <c r="S8">
        <f t="shared" si="4"/>
        <v>0</v>
      </c>
      <c r="T8" t="s">
        <v>697</v>
      </c>
      <c r="U8">
        <f t="shared" si="5"/>
        <v>9</v>
      </c>
    </row>
    <row r="9" spans="2:21" x14ac:dyDescent="0.3">
      <c r="B9" s="2" t="s">
        <v>687</v>
      </c>
      <c r="F9" s="1">
        <v>5</v>
      </c>
      <c r="G9" s="4">
        <v>157</v>
      </c>
      <c r="H9" s="1" t="str">
        <f t="shared" ca="1" si="0"/>
        <v>Curtain</v>
      </c>
      <c r="I9" s="4">
        <v>2</v>
      </c>
      <c r="J9" s="1" t="str">
        <f t="shared" si="2"/>
        <v>Bystander</v>
      </c>
      <c r="K9" s="1" t="str">
        <f t="shared" si="1"/>
        <v>card_bystander</v>
      </c>
      <c r="L9" s="5" t="b">
        <v>0</v>
      </c>
      <c r="M9" s="5">
        <f t="shared" ca="1" si="3"/>
        <v>1</v>
      </c>
    </row>
    <row r="10" spans="2:21" x14ac:dyDescent="0.3">
      <c r="F10" s="1">
        <v>6</v>
      </c>
      <c r="G10" s="4">
        <v>627</v>
      </c>
      <c r="H10" s="1" t="str">
        <f t="shared" ca="1" si="0"/>
        <v>Treasure</v>
      </c>
      <c r="I10" s="4">
        <v>2</v>
      </c>
      <c r="J10" s="1" t="str">
        <f t="shared" si="2"/>
        <v>Bystander</v>
      </c>
      <c r="K10" s="1" t="str">
        <f t="shared" si="1"/>
        <v>card_bystander</v>
      </c>
      <c r="L10" s="5" t="b">
        <v>0</v>
      </c>
      <c r="M10" s="5">
        <f t="shared" ca="1" si="3"/>
        <v>1</v>
      </c>
    </row>
    <row r="11" spans="2:21" x14ac:dyDescent="0.3">
      <c r="B11" s="1" t="s">
        <v>688</v>
      </c>
      <c r="C11" s="1" t="s">
        <v>685</v>
      </c>
      <c r="F11" s="1">
        <v>7</v>
      </c>
      <c r="G11" s="4">
        <v>178</v>
      </c>
      <c r="H11" s="1" t="str">
        <f t="shared" ca="1" si="0"/>
        <v>Doll</v>
      </c>
      <c r="I11" s="4">
        <v>3</v>
      </c>
      <c r="J11" s="1" t="str">
        <f t="shared" si="2"/>
        <v>Red</v>
      </c>
      <c r="K11" s="1" t="str">
        <f t="shared" si="1"/>
        <v>card_red</v>
      </c>
      <c r="L11" s="5" t="b">
        <v>0</v>
      </c>
      <c r="M11" s="5">
        <f t="shared" ca="1" si="3"/>
        <v>1</v>
      </c>
    </row>
    <row r="12" spans="2:21" x14ac:dyDescent="0.3">
      <c r="F12" s="1">
        <v>8</v>
      </c>
      <c r="G12" s="4">
        <v>119</v>
      </c>
      <c r="H12" s="1" t="str">
        <f t="shared" ca="1" si="0"/>
        <v>Chocolate</v>
      </c>
      <c r="I12" s="4">
        <v>2</v>
      </c>
      <c r="J12" s="1" t="str">
        <f t="shared" si="2"/>
        <v>Bystander</v>
      </c>
      <c r="K12" s="1" t="str">
        <f t="shared" si="1"/>
        <v>card_bystander</v>
      </c>
      <c r="L12" s="5" t="b">
        <v>0</v>
      </c>
      <c r="M12" s="5">
        <f t="shared" ca="1" si="3"/>
        <v>1</v>
      </c>
    </row>
    <row r="13" spans="2:21" x14ac:dyDescent="0.3">
      <c r="B13" s="2" t="s">
        <v>701</v>
      </c>
      <c r="F13" s="1">
        <v>9</v>
      </c>
      <c r="G13" s="4">
        <v>94</v>
      </c>
      <c r="H13" s="1" t="str">
        <f t="shared" ca="1" si="0"/>
        <v>Can</v>
      </c>
      <c r="I13" s="4">
        <v>4</v>
      </c>
      <c r="J13" s="1" t="str">
        <f t="shared" si="2"/>
        <v>Blue</v>
      </c>
      <c r="K13" s="1" t="str">
        <f t="shared" si="1"/>
        <v>card_blue</v>
      </c>
      <c r="L13" s="5" t="b">
        <v>0</v>
      </c>
      <c r="M13" s="5">
        <f t="shared" ca="1" si="3"/>
        <v>1</v>
      </c>
    </row>
    <row r="14" spans="2:21" x14ac:dyDescent="0.3">
      <c r="F14" s="1">
        <v>10</v>
      </c>
      <c r="G14" s="4">
        <v>563</v>
      </c>
      <c r="H14" s="1" t="str">
        <f t="shared" ca="1" si="0"/>
        <v>Spider</v>
      </c>
      <c r="I14" s="4">
        <v>2</v>
      </c>
      <c r="J14" s="1" t="str">
        <f t="shared" si="2"/>
        <v>Bystander</v>
      </c>
      <c r="K14" s="1" t="str">
        <f t="shared" si="1"/>
        <v>card_bystander</v>
      </c>
      <c r="L14" s="5" t="b">
        <v>0</v>
      </c>
      <c r="M14" s="5">
        <f t="shared" ca="1" si="3"/>
        <v>1</v>
      </c>
    </row>
    <row r="15" spans="2:21" x14ac:dyDescent="0.3">
      <c r="B15" s="1" t="s">
        <v>684</v>
      </c>
      <c r="C15" s="1" t="b">
        <f>U5=0</f>
        <v>0</v>
      </c>
      <c r="F15" s="1">
        <v>11</v>
      </c>
      <c r="G15" s="4">
        <v>620</v>
      </c>
      <c r="H15" s="1" t="str">
        <f t="shared" ca="1" si="0"/>
        <v>Tool</v>
      </c>
      <c r="I15" s="4">
        <v>3</v>
      </c>
      <c r="J15" s="1" t="str">
        <f t="shared" si="2"/>
        <v>Red</v>
      </c>
      <c r="K15" s="1" t="str">
        <f t="shared" si="1"/>
        <v>card_red</v>
      </c>
      <c r="L15" s="5" t="b">
        <v>0</v>
      </c>
      <c r="M15" s="5">
        <f t="shared" ca="1" si="3"/>
        <v>1</v>
      </c>
    </row>
    <row r="16" spans="2:21" x14ac:dyDescent="0.3">
      <c r="B16" s="1" t="s">
        <v>494</v>
      </c>
      <c r="C16" s="1" t="b">
        <f>U7=0</f>
        <v>0</v>
      </c>
      <c r="F16" s="1">
        <v>12</v>
      </c>
      <c r="G16" s="4">
        <v>224</v>
      </c>
      <c r="H16" s="1" t="str">
        <f t="shared" ca="1" si="0"/>
        <v>Fix</v>
      </c>
      <c r="I16" s="4">
        <v>3</v>
      </c>
      <c r="J16" s="1" t="str">
        <f t="shared" si="2"/>
        <v>Red</v>
      </c>
      <c r="K16" s="1" t="str">
        <f t="shared" si="1"/>
        <v>card_red</v>
      </c>
      <c r="L16" s="5" t="b">
        <v>0</v>
      </c>
      <c r="M16" s="5">
        <f t="shared" ca="1" si="3"/>
        <v>1</v>
      </c>
    </row>
    <row r="17" spans="2:13" x14ac:dyDescent="0.3">
      <c r="B17" s="1" t="s">
        <v>685</v>
      </c>
      <c r="C17" s="1" t="b">
        <f>U8=0</f>
        <v>0</v>
      </c>
      <c r="F17" s="1">
        <v>13</v>
      </c>
      <c r="G17" s="4">
        <v>362</v>
      </c>
      <c r="H17" s="1" t="str">
        <f t="shared" ca="1" si="0"/>
        <v>Mammoth</v>
      </c>
      <c r="I17" s="4">
        <v>3</v>
      </c>
      <c r="J17" s="1" t="str">
        <f t="shared" si="2"/>
        <v>Red</v>
      </c>
      <c r="K17" s="1" t="str">
        <f t="shared" si="1"/>
        <v>card_red</v>
      </c>
      <c r="L17" s="5" t="b">
        <v>0</v>
      </c>
      <c r="M17" s="5">
        <f t="shared" ca="1" si="3"/>
        <v>1</v>
      </c>
    </row>
    <row r="18" spans="2:13" x14ac:dyDescent="0.3">
      <c r="F18" s="1">
        <v>14</v>
      </c>
      <c r="G18" s="4">
        <v>193</v>
      </c>
      <c r="H18" s="1" t="str">
        <f t="shared" ca="1" si="0"/>
        <v>Dust</v>
      </c>
      <c r="I18" s="4">
        <v>3</v>
      </c>
      <c r="J18" s="1" t="str">
        <f t="shared" si="2"/>
        <v>Red</v>
      </c>
      <c r="K18" s="1" t="str">
        <f t="shared" si="1"/>
        <v>card_red</v>
      </c>
      <c r="L18" s="5" t="b">
        <v>0</v>
      </c>
      <c r="M18" s="5">
        <f t="shared" ca="1" si="3"/>
        <v>1</v>
      </c>
    </row>
    <row r="19" spans="2:13" x14ac:dyDescent="0.3">
      <c r="F19" s="1">
        <v>15</v>
      </c>
      <c r="G19" s="4">
        <v>596</v>
      </c>
      <c r="H19" s="1" t="str">
        <f t="shared" ca="1" si="0"/>
        <v>Tachometer</v>
      </c>
      <c r="I19" s="4">
        <v>4</v>
      </c>
      <c r="J19" s="1" t="str">
        <f t="shared" si="2"/>
        <v>Blue</v>
      </c>
      <c r="K19" s="1" t="str">
        <f t="shared" si="1"/>
        <v>card_blue</v>
      </c>
      <c r="L19" s="5" t="b">
        <v>0</v>
      </c>
      <c r="M19" s="5">
        <f t="shared" ca="1" si="3"/>
        <v>1</v>
      </c>
    </row>
    <row r="20" spans="2:13" x14ac:dyDescent="0.3">
      <c r="F20" s="1">
        <v>16</v>
      </c>
      <c r="G20" s="4">
        <v>500</v>
      </c>
      <c r="H20" s="1" t="str">
        <f t="shared" ca="1" si="0"/>
        <v>Rink</v>
      </c>
      <c r="I20" s="4">
        <v>3</v>
      </c>
      <c r="J20" s="1" t="str">
        <f t="shared" si="2"/>
        <v>Red</v>
      </c>
      <c r="K20" s="1" t="str">
        <f t="shared" si="1"/>
        <v>card_red</v>
      </c>
      <c r="L20" s="5" t="b">
        <v>0</v>
      </c>
      <c r="M20" s="5">
        <f t="shared" ca="1" si="3"/>
        <v>1</v>
      </c>
    </row>
    <row r="21" spans="2:13" x14ac:dyDescent="0.3">
      <c r="F21" s="1">
        <v>17</v>
      </c>
      <c r="G21" s="4">
        <v>438</v>
      </c>
      <c r="H21" s="1" t="str">
        <f t="shared" ca="1" si="0"/>
        <v>Philosopher</v>
      </c>
      <c r="I21" s="4">
        <v>4</v>
      </c>
      <c r="J21" s="1" t="str">
        <f t="shared" si="2"/>
        <v>Blue</v>
      </c>
      <c r="K21" s="1" t="str">
        <f t="shared" si="1"/>
        <v>card_blue</v>
      </c>
      <c r="L21" s="5" t="b">
        <v>0</v>
      </c>
      <c r="M21" s="5">
        <f t="shared" ca="1" si="3"/>
        <v>1</v>
      </c>
    </row>
    <row r="22" spans="2:13" x14ac:dyDescent="0.3">
      <c r="F22" s="1">
        <v>18</v>
      </c>
      <c r="G22" s="4">
        <v>118</v>
      </c>
      <c r="H22" s="1" t="str">
        <f t="shared" ca="1" si="0"/>
        <v>China</v>
      </c>
      <c r="I22" s="4">
        <v>1</v>
      </c>
      <c r="J22" s="1" t="str">
        <f t="shared" si="2"/>
        <v>Assassin</v>
      </c>
      <c r="K22" s="1" t="str">
        <f t="shared" si="1"/>
        <v>card_assassin</v>
      </c>
      <c r="L22" s="5" t="b">
        <v>0</v>
      </c>
      <c r="M22" s="5">
        <f t="shared" ca="1" si="3"/>
        <v>1</v>
      </c>
    </row>
    <row r="23" spans="2:13" x14ac:dyDescent="0.3">
      <c r="F23" s="1">
        <v>19</v>
      </c>
      <c r="G23" s="4">
        <v>533</v>
      </c>
      <c r="H23" s="1" t="str">
        <f t="shared" ca="1" si="0"/>
        <v>Sheep</v>
      </c>
      <c r="I23" s="4">
        <v>3</v>
      </c>
      <c r="J23" s="1" t="str">
        <f t="shared" si="2"/>
        <v>Red</v>
      </c>
      <c r="K23" s="1" t="str">
        <f t="shared" si="1"/>
        <v>card_red</v>
      </c>
      <c r="L23" s="5" t="b">
        <v>0</v>
      </c>
      <c r="M23" s="5">
        <f t="shared" ca="1" si="3"/>
        <v>1</v>
      </c>
    </row>
    <row r="24" spans="2:13" x14ac:dyDescent="0.3">
      <c r="F24" s="1">
        <v>20</v>
      </c>
      <c r="G24" s="4">
        <v>381</v>
      </c>
      <c r="H24" s="1" t="str">
        <f t="shared" ca="1" si="0"/>
        <v>Monster</v>
      </c>
      <c r="I24" s="4">
        <v>4</v>
      </c>
      <c r="J24" s="1" t="str">
        <f t="shared" si="2"/>
        <v>Blue</v>
      </c>
      <c r="K24" s="1" t="str">
        <f t="shared" si="1"/>
        <v>card_blue</v>
      </c>
      <c r="L24" s="5" t="b">
        <v>0</v>
      </c>
      <c r="M24" s="5">
        <f t="shared" ca="1" si="3"/>
        <v>1</v>
      </c>
    </row>
    <row r="25" spans="2:13" x14ac:dyDescent="0.3">
      <c r="F25" s="1">
        <v>21</v>
      </c>
      <c r="G25" s="4">
        <v>544</v>
      </c>
      <c r="H25" s="1" t="str">
        <f t="shared" ca="1" si="0"/>
        <v>Silhouette</v>
      </c>
      <c r="I25" s="4">
        <v>2</v>
      </c>
      <c r="J25" s="1" t="str">
        <f t="shared" si="2"/>
        <v>Bystander</v>
      </c>
      <c r="K25" s="1" t="str">
        <f t="shared" si="1"/>
        <v>card_bystander</v>
      </c>
      <c r="L25" s="5" t="b">
        <v>0</v>
      </c>
      <c r="M25" s="5">
        <f t="shared" ca="1" si="3"/>
        <v>1</v>
      </c>
    </row>
    <row r="26" spans="2:13" x14ac:dyDescent="0.3">
      <c r="F26" s="1">
        <v>22</v>
      </c>
      <c r="G26" s="4">
        <v>50</v>
      </c>
      <c r="H26" s="1" t="str">
        <f t="shared" ca="1" si="0"/>
        <v>Birthday</v>
      </c>
      <c r="I26" s="4">
        <v>4</v>
      </c>
      <c r="J26" s="1" t="str">
        <f t="shared" si="2"/>
        <v>Blue</v>
      </c>
      <c r="K26" s="1" t="str">
        <f t="shared" si="1"/>
        <v>card_blue</v>
      </c>
      <c r="L26" s="5" t="b">
        <v>0</v>
      </c>
      <c r="M26" s="5">
        <f t="shared" ca="1" si="3"/>
        <v>1</v>
      </c>
    </row>
    <row r="27" spans="2:13" x14ac:dyDescent="0.3">
      <c r="F27" s="1">
        <v>23</v>
      </c>
      <c r="G27" s="4">
        <v>156</v>
      </c>
      <c r="H27" s="1" t="str">
        <f t="shared" ca="1" si="0"/>
        <v>Cuff</v>
      </c>
      <c r="I27" s="4">
        <v>2</v>
      </c>
      <c r="J27" s="1" t="str">
        <f t="shared" si="2"/>
        <v>Bystander</v>
      </c>
      <c r="K27" s="1" t="str">
        <f t="shared" si="1"/>
        <v>card_bystander</v>
      </c>
      <c r="L27" s="5" t="b">
        <v>0</v>
      </c>
      <c r="M27" s="5">
        <f t="shared" ca="1" si="3"/>
        <v>1</v>
      </c>
    </row>
    <row r="28" spans="2:13" x14ac:dyDescent="0.3">
      <c r="F28" s="1">
        <v>24</v>
      </c>
      <c r="G28" s="4">
        <v>60</v>
      </c>
      <c r="H28" s="1" t="str">
        <f t="shared" ca="1" si="0"/>
        <v>Boa</v>
      </c>
      <c r="I28" s="4">
        <v>4</v>
      </c>
      <c r="J28" s="1" t="str">
        <f t="shared" si="2"/>
        <v>Blue</v>
      </c>
      <c r="K28" s="1" t="str">
        <f t="shared" si="1"/>
        <v>card_blue</v>
      </c>
      <c r="L28" s="5" t="b">
        <v>0</v>
      </c>
      <c r="M28" s="5">
        <f t="shared" ca="1" si="3"/>
        <v>1</v>
      </c>
    </row>
    <row r="29" spans="2:13" x14ac:dyDescent="0.3">
      <c r="F29" s="1">
        <v>25</v>
      </c>
      <c r="G29" s="4">
        <v>648</v>
      </c>
      <c r="H29" s="1" t="str">
        <f t="shared" ca="1" si="0"/>
        <v>Wedding</v>
      </c>
      <c r="I29" s="4">
        <v>4</v>
      </c>
      <c r="J29" s="1" t="str">
        <f t="shared" si="2"/>
        <v>Blue</v>
      </c>
      <c r="K29" s="1" t="str">
        <f t="shared" si="1"/>
        <v>card_blue</v>
      </c>
      <c r="L29" s="5" t="b">
        <v>0</v>
      </c>
      <c r="M29" s="5">
        <f t="shared" ca="1" si="3"/>
        <v>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QuestionCard"/>
  <dimension ref="A1:L11"/>
  <sheetViews>
    <sheetView workbookViewId="0">
      <selection activeCell="L19" sqref="L19"/>
    </sheetView>
  </sheetViews>
  <sheetFormatPr defaultRowHeight="14.4" x14ac:dyDescent="0.3"/>
  <cols>
    <col min="1" max="7" width="2.77734375" customWidth="1"/>
    <col min="8" max="12" width="10.77734375" customWidth="1"/>
    <col min="13" max="14" width="2.77734375" customWidth="1"/>
  </cols>
  <sheetData>
    <row r="1" spans="1:12" x14ac:dyDescent="0.3">
      <c r="A1" t="s">
        <v>698</v>
      </c>
    </row>
    <row r="6" spans="1:12" ht="49.95" customHeight="1" x14ac:dyDescent="0.3">
      <c r="H6" s="6">
        <f>Control!I5</f>
        <v>3</v>
      </c>
      <c r="I6" s="6">
        <f>Control!I6</f>
        <v>4</v>
      </c>
      <c r="J6" s="6">
        <f>Control!I7</f>
        <v>4</v>
      </c>
      <c r="K6" s="6">
        <f>Control!I8</f>
        <v>2</v>
      </c>
      <c r="L6" s="6">
        <f>Control!I9</f>
        <v>2</v>
      </c>
    </row>
    <row r="7" spans="1:12" ht="49.95" customHeight="1" x14ac:dyDescent="0.3">
      <c r="H7" s="6">
        <f>Control!I10</f>
        <v>2</v>
      </c>
      <c r="I7" s="6">
        <f>Control!I11</f>
        <v>3</v>
      </c>
      <c r="J7" s="6">
        <f>Control!I12</f>
        <v>2</v>
      </c>
      <c r="K7" s="6">
        <f>Control!I13</f>
        <v>4</v>
      </c>
      <c r="L7" s="6">
        <f>Control!I14</f>
        <v>2</v>
      </c>
    </row>
    <row r="8" spans="1:12" ht="49.95" customHeight="1" x14ac:dyDescent="0.3">
      <c r="H8" s="6">
        <f>Control!I15</f>
        <v>3</v>
      </c>
      <c r="I8" s="6">
        <f>Control!I16</f>
        <v>3</v>
      </c>
      <c r="J8" s="6">
        <f>Control!I17</f>
        <v>3</v>
      </c>
      <c r="K8" s="6">
        <f>Control!I18</f>
        <v>3</v>
      </c>
      <c r="L8" s="6">
        <f>Control!I19</f>
        <v>4</v>
      </c>
    </row>
    <row r="9" spans="1:12" ht="49.95" customHeight="1" x14ac:dyDescent="0.3">
      <c r="H9" s="6">
        <f>Control!I20</f>
        <v>3</v>
      </c>
      <c r="I9" s="6">
        <f>Control!I21</f>
        <v>4</v>
      </c>
      <c r="J9" s="6">
        <f>Control!I22</f>
        <v>1</v>
      </c>
      <c r="K9" s="6">
        <f>Control!I23</f>
        <v>3</v>
      </c>
      <c r="L9" s="6">
        <f>Control!I24</f>
        <v>4</v>
      </c>
    </row>
    <row r="10" spans="1:12" ht="49.95" customHeight="1" x14ac:dyDescent="0.3">
      <c r="H10" s="6">
        <f>Control!I25</f>
        <v>2</v>
      </c>
      <c r="I10" s="6">
        <f>Control!I26</f>
        <v>4</v>
      </c>
      <c r="J10" s="6">
        <f>Control!I27</f>
        <v>2</v>
      </c>
      <c r="K10" s="6">
        <f>Control!I28</f>
        <v>4</v>
      </c>
      <c r="L10" s="6">
        <f>Control!I29</f>
        <v>4</v>
      </c>
    </row>
    <row r="11" spans="1:12" ht="14.4" customHeight="1" x14ac:dyDescent="0.3"/>
  </sheetData>
  <conditionalFormatting sqref="H6:L10">
    <cfRule type="expression" dxfId="3" priority="1">
      <formula>H6=4</formula>
    </cfRule>
    <cfRule type="expression" dxfId="2" priority="2">
      <formula>H6=3</formula>
    </cfRule>
    <cfRule type="expression" dxfId="1" priority="3">
      <formula>H6=2</formula>
    </cfRule>
    <cfRule type="expression" dxfId="0" priority="4">
      <formula>H6=1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DB"/>
  <dimension ref="B2:B675"/>
  <sheetViews>
    <sheetView workbookViewId="0"/>
  </sheetViews>
  <sheetFormatPr defaultRowHeight="14.4" x14ac:dyDescent="0.3"/>
  <cols>
    <col min="2" max="2" width="11.33203125" bestFit="1" customWidth="1"/>
    <col min="4" max="6" width="2.77734375" customWidth="1"/>
  </cols>
  <sheetData>
    <row r="2" spans="2:2" x14ac:dyDescent="0.3">
      <c r="B2" s="1" t="s">
        <v>2</v>
      </c>
    </row>
    <row r="3" spans="2:2" x14ac:dyDescent="0.3">
      <c r="B3" t="s">
        <v>3</v>
      </c>
    </row>
    <row r="4" spans="2:2" x14ac:dyDescent="0.3">
      <c r="B4" t="s">
        <v>4</v>
      </c>
    </row>
    <row r="5" spans="2:2" x14ac:dyDescent="0.3">
      <c r="B5" t="s">
        <v>5</v>
      </c>
    </row>
    <row r="6" spans="2:2" x14ac:dyDescent="0.3">
      <c r="B6" t="s">
        <v>6</v>
      </c>
    </row>
    <row r="7" spans="2:2" x14ac:dyDescent="0.3">
      <c r="B7" t="s">
        <v>7</v>
      </c>
    </row>
    <row r="8" spans="2:2" x14ac:dyDescent="0.3">
      <c r="B8" t="s">
        <v>8</v>
      </c>
    </row>
    <row r="9" spans="2:2" x14ac:dyDescent="0.3">
      <c r="B9" t="s">
        <v>9</v>
      </c>
    </row>
    <row r="10" spans="2:2" x14ac:dyDescent="0.3">
      <c r="B10" t="s">
        <v>10</v>
      </c>
    </row>
    <row r="11" spans="2:2" x14ac:dyDescent="0.3">
      <c r="B11" t="s">
        <v>11</v>
      </c>
    </row>
    <row r="12" spans="2:2" x14ac:dyDescent="0.3">
      <c r="B12" t="s">
        <v>12</v>
      </c>
    </row>
    <row r="13" spans="2:2" x14ac:dyDescent="0.3">
      <c r="B13" t="s">
        <v>13</v>
      </c>
    </row>
    <row r="14" spans="2:2" x14ac:dyDescent="0.3">
      <c r="B14" t="s">
        <v>14</v>
      </c>
    </row>
    <row r="15" spans="2:2" x14ac:dyDescent="0.3">
      <c r="B15" t="s">
        <v>15</v>
      </c>
    </row>
    <row r="16" spans="2:2" x14ac:dyDescent="0.3">
      <c r="B16" t="s">
        <v>16</v>
      </c>
    </row>
    <row r="17" spans="2:2" x14ac:dyDescent="0.3">
      <c r="B17" t="s">
        <v>17</v>
      </c>
    </row>
    <row r="18" spans="2:2" x14ac:dyDescent="0.3">
      <c r="B18" t="s">
        <v>18</v>
      </c>
    </row>
    <row r="19" spans="2:2" x14ac:dyDescent="0.3">
      <c r="B19" t="s">
        <v>19</v>
      </c>
    </row>
    <row r="20" spans="2:2" x14ac:dyDescent="0.3">
      <c r="B20" t="s">
        <v>20</v>
      </c>
    </row>
    <row r="21" spans="2:2" x14ac:dyDescent="0.3">
      <c r="B21" t="s">
        <v>21</v>
      </c>
    </row>
    <row r="22" spans="2:2" x14ac:dyDescent="0.3">
      <c r="B22" t="s">
        <v>22</v>
      </c>
    </row>
    <row r="23" spans="2:2" x14ac:dyDescent="0.3">
      <c r="B23" t="s">
        <v>23</v>
      </c>
    </row>
    <row r="24" spans="2:2" x14ac:dyDescent="0.3">
      <c r="B24" t="s">
        <v>24</v>
      </c>
    </row>
    <row r="25" spans="2:2" x14ac:dyDescent="0.3">
      <c r="B25" t="s">
        <v>25</v>
      </c>
    </row>
    <row r="26" spans="2:2" x14ac:dyDescent="0.3">
      <c r="B26" t="s">
        <v>26</v>
      </c>
    </row>
    <row r="27" spans="2:2" x14ac:dyDescent="0.3">
      <c r="B27" t="s">
        <v>27</v>
      </c>
    </row>
    <row r="28" spans="2:2" x14ac:dyDescent="0.3">
      <c r="B28" t="s">
        <v>28</v>
      </c>
    </row>
    <row r="29" spans="2:2" x14ac:dyDescent="0.3">
      <c r="B29" t="s">
        <v>29</v>
      </c>
    </row>
    <row r="30" spans="2:2" x14ac:dyDescent="0.3">
      <c r="B30" t="s">
        <v>30</v>
      </c>
    </row>
    <row r="31" spans="2:2" x14ac:dyDescent="0.3">
      <c r="B31" t="s">
        <v>31</v>
      </c>
    </row>
    <row r="32" spans="2:2" x14ac:dyDescent="0.3">
      <c r="B32" t="s">
        <v>32</v>
      </c>
    </row>
    <row r="33" spans="2:2" x14ac:dyDescent="0.3">
      <c r="B33" t="s">
        <v>33</v>
      </c>
    </row>
    <row r="34" spans="2:2" x14ac:dyDescent="0.3">
      <c r="B34" t="s">
        <v>34</v>
      </c>
    </row>
    <row r="35" spans="2:2" x14ac:dyDescent="0.3">
      <c r="B35" t="s">
        <v>35</v>
      </c>
    </row>
    <row r="36" spans="2:2" x14ac:dyDescent="0.3">
      <c r="B36" t="s">
        <v>36</v>
      </c>
    </row>
    <row r="37" spans="2:2" x14ac:dyDescent="0.3">
      <c r="B37" t="s">
        <v>37</v>
      </c>
    </row>
    <row r="38" spans="2:2" x14ac:dyDescent="0.3">
      <c r="B38" t="s">
        <v>38</v>
      </c>
    </row>
    <row r="39" spans="2:2" x14ac:dyDescent="0.3">
      <c r="B39" t="s">
        <v>39</v>
      </c>
    </row>
    <row r="40" spans="2:2" x14ac:dyDescent="0.3">
      <c r="B40" t="s">
        <v>40</v>
      </c>
    </row>
    <row r="41" spans="2:2" x14ac:dyDescent="0.3">
      <c r="B41" t="s">
        <v>41</v>
      </c>
    </row>
    <row r="42" spans="2:2" x14ac:dyDescent="0.3">
      <c r="B42" t="s">
        <v>42</v>
      </c>
    </row>
    <row r="43" spans="2:2" x14ac:dyDescent="0.3">
      <c r="B43" t="s">
        <v>43</v>
      </c>
    </row>
    <row r="44" spans="2:2" x14ac:dyDescent="0.3">
      <c r="B44" t="s">
        <v>44</v>
      </c>
    </row>
    <row r="45" spans="2:2" x14ac:dyDescent="0.3">
      <c r="B45" t="s">
        <v>45</v>
      </c>
    </row>
    <row r="46" spans="2:2" x14ac:dyDescent="0.3">
      <c r="B46" t="s">
        <v>46</v>
      </c>
    </row>
    <row r="47" spans="2:2" x14ac:dyDescent="0.3">
      <c r="B47" t="s">
        <v>47</v>
      </c>
    </row>
    <row r="48" spans="2:2" x14ac:dyDescent="0.3">
      <c r="B48" t="s">
        <v>48</v>
      </c>
    </row>
    <row r="49" spans="2:2" x14ac:dyDescent="0.3">
      <c r="B49" t="s">
        <v>49</v>
      </c>
    </row>
    <row r="50" spans="2:2" x14ac:dyDescent="0.3">
      <c r="B50" t="s">
        <v>50</v>
      </c>
    </row>
    <row r="51" spans="2:2" x14ac:dyDescent="0.3">
      <c r="B51" t="s">
        <v>51</v>
      </c>
    </row>
    <row r="52" spans="2:2" x14ac:dyDescent="0.3">
      <c r="B52" t="s">
        <v>52</v>
      </c>
    </row>
    <row r="53" spans="2:2" x14ac:dyDescent="0.3">
      <c r="B53" t="s">
        <v>53</v>
      </c>
    </row>
    <row r="54" spans="2:2" x14ac:dyDescent="0.3">
      <c r="B54" t="s">
        <v>54</v>
      </c>
    </row>
    <row r="55" spans="2:2" x14ac:dyDescent="0.3">
      <c r="B55" t="s">
        <v>55</v>
      </c>
    </row>
    <row r="56" spans="2:2" x14ac:dyDescent="0.3">
      <c r="B56" t="s">
        <v>56</v>
      </c>
    </row>
    <row r="57" spans="2:2" x14ac:dyDescent="0.3">
      <c r="B57" t="s">
        <v>57</v>
      </c>
    </row>
    <row r="58" spans="2:2" x14ac:dyDescent="0.3">
      <c r="B58" t="s">
        <v>58</v>
      </c>
    </row>
    <row r="59" spans="2:2" x14ac:dyDescent="0.3">
      <c r="B59" t="s">
        <v>59</v>
      </c>
    </row>
    <row r="60" spans="2:2" x14ac:dyDescent="0.3">
      <c r="B60" t="s">
        <v>60</v>
      </c>
    </row>
    <row r="61" spans="2:2" x14ac:dyDescent="0.3">
      <c r="B61" t="s">
        <v>61</v>
      </c>
    </row>
    <row r="62" spans="2:2" x14ac:dyDescent="0.3">
      <c r="B62" t="s">
        <v>62</v>
      </c>
    </row>
    <row r="63" spans="2:2" x14ac:dyDescent="0.3">
      <c r="B63" t="s">
        <v>63</v>
      </c>
    </row>
    <row r="64" spans="2:2" x14ac:dyDescent="0.3">
      <c r="B64" t="s">
        <v>64</v>
      </c>
    </row>
    <row r="65" spans="2:2" x14ac:dyDescent="0.3">
      <c r="B65" t="s">
        <v>65</v>
      </c>
    </row>
    <row r="66" spans="2:2" x14ac:dyDescent="0.3">
      <c r="B66" t="s">
        <v>66</v>
      </c>
    </row>
    <row r="67" spans="2:2" x14ac:dyDescent="0.3">
      <c r="B67" t="s">
        <v>67</v>
      </c>
    </row>
    <row r="68" spans="2:2" x14ac:dyDescent="0.3">
      <c r="B68" t="s">
        <v>68</v>
      </c>
    </row>
    <row r="69" spans="2:2" x14ac:dyDescent="0.3">
      <c r="B69" t="s">
        <v>69</v>
      </c>
    </row>
    <row r="70" spans="2:2" x14ac:dyDescent="0.3">
      <c r="B70" t="s">
        <v>70</v>
      </c>
    </row>
    <row r="71" spans="2:2" x14ac:dyDescent="0.3">
      <c r="B71" t="s">
        <v>71</v>
      </c>
    </row>
    <row r="72" spans="2:2" x14ac:dyDescent="0.3">
      <c r="B72" t="s">
        <v>72</v>
      </c>
    </row>
    <row r="73" spans="2:2" x14ac:dyDescent="0.3">
      <c r="B73" t="s">
        <v>73</v>
      </c>
    </row>
    <row r="74" spans="2:2" x14ac:dyDescent="0.3">
      <c r="B74" t="s">
        <v>74</v>
      </c>
    </row>
    <row r="75" spans="2:2" x14ac:dyDescent="0.3">
      <c r="B75" t="s">
        <v>75</v>
      </c>
    </row>
    <row r="76" spans="2:2" x14ac:dyDescent="0.3">
      <c r="B76" t="s">
        <v>76</v>
      </c>
    </row>
    <row r="77" spans="2:2" x14ac:dyDescent="0.3">
      <c r="B77" t="s">
        <v>77</v>
      </c>
    </row>
    <row r="78" spans="2:2" x14ac:dyDescent="0.3">
      <c r="B78" t="s">
        <v>78</v>
      </c>
    </row>
    <row r="79" spans="2:2" x14ac:dyDescent="0.3">
      <c r="B79" t="s">
        <v>79</v>
      </c>
    </row>
    <row r="80" spans="2:2" x14ac:dyDescent="0.3">
      <c r="B80" t="s">
        <v>80</v>
      </c>
    </row>
    <row r="81" spans="2:2" x14ac:dyDescent="0.3">
      <c r="B81" t="s">
        <v>81</v>
      </c>
    </row>
    <row r="82" spans="2:2" x14ac:dyDescent="0.3">
      <c r="B82" t="s">
        <v>82</v>
      </c>
    </row>
    <row r="83" spans="2:2" x14ac:dyDescent="0.3">
      <c r="B83" t="s">
        <v>83</v>
      </c>
    </row>
    <row r="84" spans="2:2" x14ac:dyDescent="0.3">
      <c r="B84" t="s">
        <v>84</v>
      </c>
    </row>
    <row r="85" spans="2:2" x14ac:dyDescent="0.3">
      <c r="B85" t="s">
        <v>85</v>
      </c>
    </row>
    <row r="86" spans="2:2" x14ac:dyDescent="0.3">
      <c r="B86" t="s">
        <v>86</v>
      </c>
    </row>
    <row r="87" spans="2:2" x14ac:dyDescent="0.3">
      <c r="B87" t="s">
        <v>87</v>
      </c>
    </row>
    <row r="88" spans="2:2" x14ac:dyDescent="0.3">
      <c r="B88" t="s">
        <v>88</v>
      </c>
    </row>
    <row r="89" spans="2:2" x14ac:dyDescent="0.3">
      <c r="B89" t="s">
        <v>89</v>
      </c>
    </row>
    <row r="90" spans="2:2" x14ac:dyDescent="0.3">
      <c r="B90" t="s">
        <v>90</v>
      </c>
    </row>
    <row r="91" spans="2:2" x14ac:dyDescent="0.3">
      <c r="B91" t="s">
        <v>91</v>
      </c>
    </row>
    <row r="92" spans="2:2" x14ac:dyDescent="0.3">
      <c r="B92" t="s">
        <v>92</v>
      </c>
    </row>
    <row r="93" spans="2:2" x14ac:dyDescent="0.3">
      <c r="B93" t="s">
        <v>93</v>
      </c>
    </row>
    <row r="94" spans="2:2" x14ac:dyDescent="0.3">
      <c r="B94" t="s">
        <v>94</v>
      </c>
    </row>
    <row r="95" spans="2:2" x14ac:dyDescent="0.3">
      <c r="B95" t="s">
        <v>95</v>
      </c>
    </row>
    <row r="96" spans="2:2" x14ac:dyDescent="0.3">
      <c r="B96" t="s">
        <v>96</v>
      </c>
    </row>
    <row r="97" spans="2:2" x14ac:dyDescent="0.3">
      <c r="B97" t="s">
        <v>97</v>
      </c>
    </row>
    <row r="98" spans="2:2" x14ac:dyDescent="0.3">
      <c r="B98" t="s">
        <v>98</v>
      </c>
    </row>
    <row r="99" spans="2:2" x14ac:dyDescent="0.3">
      <c r="B99" t="s">
        <v>99</v>
      </c>
    </row>
    <row r="100" spans="2:2" x14ac:dyDescent="0.3">
      <c r="B100" t="s">
        <v>100</v>
      </c>
    </row>
    <row r="101" spans="2:2" x14ac:dyDescent="0.3">
      <c r="B101" t="s">
        <v>101</v>
      </c>
    </row>
    <row r="102" spans="2:2" x14ac:dyDescent="0.3">
      <c r="B102" t="s">
        <v>102</v>
      </c>
    </row>
    <row r="103" spans="2:2" x14ac:dyDescent="0.3">
      <c r="B103" t="s">
        <v>103</v>
      </c>
    </row>
    <row r="104" spans="2:2" x14ac:dyDescent="0.3">
      <c r="B104" t="s">
        <v>104</v>
      </c>
    </row>
    <row r="105" spans="2:2" x14ac:dyDescent="0.3">
      <c r="B105" t="s">
        <v>105</v>
      </c>
    </row>
    <row r="106" spans="2:2" x14ac:dyDescent="0.3">
      <c r="B106" t="s">
        <v>106</v>
      </c>
    </row>
    <row r="107" spans="2:2" x14ac:dyDescent="0.3">
      <c r="B107" t="s">
        <v>107</v>
      </c>
    </row>
    <row r="108" spans="2:2" x14ac:dyDescent="0.3">
      <c r="B108" t="s">
        <v>108</v>
      </c>
    </row>
    <row r="109" spans="2:2" x14ac:dyDescent="0.3">
      <c r="B109" t="s">
        <v>109</v>
      </c>
    </row>
    <row r="110" spans="2:2" x14ac:dyDescent="0.3">
      <c r="B110" t="s">
        <v>110</v>
      </c>
    </row>
    <row r="111" spans="2:2" x14ac:dyDescent="0.3">
      <c r="B111" t="s">
        <v>111</v>
      </c>
    </row>
    <row r="112" spans="2:2" x14ac:dyDescent="0.3">
      <c r="B112" t="s">
        <v>112</v>
      </c>
    </row>
    <row r="113" spans="2:2" x14ac:dyDescent="0.3">
      <c r="B113" t="s">
        <v>113</v>
      </c>
    </row>
    <row r="114" spans="2:2" x14ac:dyDescent="0.3">
      <c r="B114" t="s">
        <v>114</v>
      </c>
    </row>
    <row r="115" spans="2:2" x14ac:dyDescent="0.3">
      <c r="B115" t="s">
        <v>115</v>
      </c>
    </row>
    <row r="116" spans="2:2" x14ac:dyDescent="0.3">
      <c r="B116" t="s">
        <v>116</v>
      </c>
    </row>
    <row r="117" spans="2:2" x14ac:dyDescent="0.3">
      <c r="B117" t="s">
        <v>117</v>
      </c>
    </row>
    <row r="118" spans="2:2" x14ac:dyDescent="0.3">
      <c r="B118" t="s">
        <v>118</v>
      </c>
    </row>
    <row r="119" spans="2:2" x14ac:dyDescent="0.3">
      <c r="B119" t="s">
        <v>119</v>
      </c>
    </row>
    <row r="120" spans="2:2" x14ac:dyDescent="0.3">
      <c r="B120" t="s">
        <v>120</v>
      </c>
    </row>
    <row r="121" spans="2:2" x14ac:dyDescent="0.3">
      <c r="B121" t="s">
        <v>121</v>
      </c>
    </row>
    <row r="122" spans="2:2" x14ac:dyDescent="0.3">
      <c r="B122" t="s">
        <v>122</v>
      </c>
    </row>
    <row r="123" spans="2:2" x14ac:dyDescent="0.3">
      <c r="B123" t="s">
        <v>123</v>
      </c>
    </row>
    <row r="124" spans="2:2" x14ac:dyDescent="0.3">
      <c r="B124" t="s">
        <v>124</v>
      </c>
    </row>
    <row r="125" spans="2:2" x14ac:dyDescent="0.3">
      <c r="B125" t="s">
        <v>125</v>
      </c>
    </row>
    <row r="126" spans="2:2" x14ac:dyDescent="0.3">
      <c r="B126" t="s">
        <v>126</v>
      </c>
    </row>
    <row r="127" spans="2:2" x14ac:dyDescent="0.3">
      <c r="B127" t="s">
        <v>127</v>
      </c>
    </row>
    <row r="128" spans="2:2" x14ac:dyDescent="0.3">
      <c r="B128" t="s">
        <v>128</v>
      </c>
    </row>
    <row r="129" spans="2:2" x14ac:dyDescent="0.3">
      <c r="B129" t="s">
        <v>129</v>
      </c>
    </row>
    <row r="130" spans="2:2" x14ac:dyDescent="0.3">
      <c r="B130" t="s">
        <v>130</v>
      </c>
    </row>
    <row r="131" spans="2:2" x14ac:dyDescent="0.3">
      <c r="B131" t="s">
        <v>131</v>
      </c>
    </row>
    <row r="132" spans="2:2" x14ac:dyDescent="0.3">
      <c r="B132" t="s">
        <v>132</v>
      </c>
    </row>
    <row r="133" spans="2:2" x14ac:dyDescent="0.3">
      <c r="B133" t="s">
        <v>133</v>
      </c>
    </row>
    <row r="134" spans="2:2" x14ac:dyDescent="0.3">
      <c r="B134" t="s">
        <v>134</v>
      </c>
    </row>
    <row r="135" spans="2:2" x14ac:dyDescent="0.3">
      <c r="B135" t="s">
        <v>135</v>
      </c>
    </row>
    <row r="136" spans="2:2" x14ac:dyDescent="0.3">
      <c r="B136" t="s">
        <v>136</v>
      </c>
    </row>
    <row r="137" spans="2:2" x14ac:dyDescent="0.3">
      <c r="B137" t="s">
        <v>137</v>
      </c>
    </row>
    <row r="138" spans="2:2" x14ac:dyDescent="0.3">
      <c r="B138" t="s">
        <v>138</v>
      </c>
    </row>
    <row r="139" spans="2:2" x14ac:dyDescent="0.3">
      <c r="B139" t="s">
        <v>139</v>
      </c>
    </row>
    <row r="140" spans="2:2" x14ac:dyDescent="0.3">
      <c r="B140" t="s">
        <v>140</v>
      </c>
    </row>
    <row r="141" spans="2:2" x14ac:dyDescent="0.3">
      <c r="B141" t="s">
        <v>141</v>
      </c>
    </row>
    <row r="142" spans="2:2" x14ac:dyDescent="0.3">
      <c r="B142" t="s">
        <v>142</v>
      </c>
    </row>
    <row r="143" spans="2:2" x14ac:dyDescent="0.3">
      <c r="B143" t="s">
        <v>143</v>
      </c>
    </row>
    <row r="144" spans="2:2" x14ac:dyDescent="0.3">
      <c r="B144" t="s">
        <v>144</v>
      </c>
    </row>
    <row r="145" spans="2:2" x14ac:dyDescent="0.3">
      <c r="B145" t="s">
        <v>145</v>
      </c>
    </row>
    <row r="146" spans="2:2" x14ac:dyDescent="0.3">
      <c r="B146" t="s">
        <v>146</v>
      </c>
    </row>
    <row r="147" spans="2:2" x14ac:dyDescent="0.3">
      <c r="B147" t="s">
        <v>147</v>
      </c>
    </row>
    <row r="148" spans="2:2" x14ac:dyDescent="0.3">
      <c r="B148" t="s">
        <v>148</v>
      </c>
    </row>
    <row r="149" spans="2:2" x14ac:dyDescent="0.3">
      <c r="B149" t="s">
        <v>149</v>
      </c>
    </row>
    <row r="150" spans="2:2" x14ac:dyDescent="0.3">
      <c r="B150" t="s">
        <v>150</v>
      </c>
    </row>
    <row r="151" spans="2:2" x14ac:dyDescent="0.3">
      <c r="B151" t="s">
        <v>151</v>
      </c>
    </row>
    <row r="152" spans="2:2" x14ac:dyDescent="0.3">
      <c r="B152" t="s">
        <v>152</v>
      </c>
    </row>
    <row r="153" spans="2:2" x14ac:dyDescent="0.3">
      <c r="B153" t="s">
        <v>153</v>
      </c>
    </row>
    <row r="154" spans="2:2" x14ac:dyDescent="0.3">
      <c r="B154" t="s">
        <v>154</v>
      </c>
    </row>
    <row r="155" spans="2:2" x14ac:dyDescent="0.3">
      <c r="B155" t="s">
        <v>155</v>
      </c>
    </row>
    <row r="156" spans="2:2" x14ac:dyDescent="0.3">
      <c r="B156" t="s">
        <v>156</v>
      </c>
    </row>
    <row r="157" spans="2:2" x14ac:dyDescent="0.3">
      <c r="B157" t="s">
        <v>157</v>
      </c>
    </row>
    <row r="158" spans="2:2" x14ac:dyDescent="0.3">
      <c r="B158" t="s">
        <v>158</v>
      </c>
    </row>
    <row r="159" spans="2:2" x14ac:dyDescent="0.3">
      <c r="B159" t="s">
        <v>159</v>
      </c>
    </row>
    <row r="160" spans="2:2" x14ac:dyDescent="0.3">
      <c r="B160" t="s">
        <v>160</v>
      </c>
    </row>
    <row r="161" spans="2:2" x14ac:dyDescent="0.3">
      <c r="B161" t="s">
        <v>161</v>
      </c>
    </row>
    <row r="162" spans="2:2" x14ac:dyDescent="0.3">
      <c r="B162" t="s">
        <v>162</v>
      </c>
    </row>
    <row r="163" spans="2:2" x14ac:dyDescent="0.3">
      <c r="B163" t="s">
        <v>163</v>
      </c>
    </row>
    <row r="164" spans="2:2" x14ac:dyDescent="0.3">
      <c r="B164" t="s">
        <v>164</v>
      </c>
    </row>
    <row r="165" spans="2:2" x14ac:dyDescent="0.3">
      <c r="B165" t="s">
        <v>165</v>
      </c>
    </row>
    <row r="166" spans="2:2" x14ac:dyDescent="0.3">
      <c r="B166" t="s">
        <v>166</v>
      </c>
    </row>
    <row r="167" spans="2:2" x14ac:dyDescent="0.3">
      <c r="B167" t="s">
        <v>167</v>
      </c>
    </row>
    <row r="168" spans="2:2" x14ac:dyDescent="0.3">
      <c r="B168" t="s">
        <v>168</v>
      </c>
    </row>
    <row r="169" spans="2:2" x14ac:dyDescent="0.3">
      <c r="B169" t="s">
        <v>169</v>
      </c>
    </row>
    <row r="170" spans="2:2" x14ac:dyDescent="0.3">
      <c r="B170" t="s">
        <v>170</v>
      </c>
    </row>
    <row r="171" spans="2:2" x14ac:dyDescent="0.3">
      <c r="B171" t="s">
        <v>171</v>
      </c>
    </row>
    <row r="172" spans="2:2" x14ac:dyDescent="0.3">
      <c r="B172" t="s">
        <v>172</v>
      </c>
    </row>
    <row r="173" spans="2:2" x14ac:dyDescent="0.3">
      <c r="B173" t="s">
        <v>173</v>
      </c>
    </row>
    <row r="174" spans="2:2" x14ac:dyDescent="0.3">
      <c r="B174" t="s">
        <v>174</v>
      </c>
    </row>
    <row r="175" spans="2:2" x14ac:dyDescent="0.3">
      <c r="B175" t="s">
        <v>175</v>
      </c>
    </row>
    <row r="176" spans="2:2" x14ac:dyDescent="0.3">
      <c r="B176" t="s">
        <v>176</v>
      </c>
    </row>
    <row r="177" spans="2:2" x14ac:dyDescent="0.3">
      <c r="B177" t="s">
        <v>177</v>
      </c>
    </row>
    <row r="178" spans="2:2" x14ac:dyDescent="0.3">
      <c r="B178" t="s">
        <v>178</v>
      </c>
    </row>
    <row r="179" spans="2:2" x14ac:dyDescent="0.3">
      <c r="B179" t="s">
        <v>179</v>
      </c>
    </row>
    <row r="180" spans="2:2" x14ac:dyDescent="0.3">
      <c r="B180" t="s">
        <v>180</v>
      </c>
    </row>
    <row r="181" spans="2:2" x14ac:dyDescent="0.3">
      <c r="B181" t="s">
        <v>181</v>
      </c>
    </row>
    <row r="182" spans="2:2" x14ac:dyDescent="0.3">
      <c r="B182" t="s">
        <v>182</v>
      </c>
    </row>
    <row r="183" spans="2:2" x14ac:dyDescent="0.3">
      <c r="B183" t="s">
        <v>183</v>
      </c>
    </row>
    <row r="184" spans="2:2" x14ac:dyDescent="0.3">
      <c r="B184" t="s">
        <v>184</v>
      </c>
    </row>
    <row r="185" spans="2:2" x14ac:dyDescent="0.3">
      <c r="B185" t="s">
        <v>185</v>
      </c>
    </row>
    <row r="186" spans="2:2" x14ac:dyDescent="0.3">
      <c r="B186" t="s">
        <v>186</v>
      </c>
    </row>
    <row r="187" spans="2:2" x14ac:dyDescent="0.3">
      <c r="B187" t="s">
        <v>187</v>
      </c>
    </row>
    <row r="188" spans="2:2" x14ac:dyDescent="0.3">
      <c r="B188" t="s">
        <v>188</v>
      </c>
    </row>
    <row r="189" spans="2:2" x14ac:dyDescent="0.3">
      <c r="B189" t="s">
        <v>189</v>
      </c>
    </row>
    <row r="190" spans="2:2" x14ac:dyDescent="0.3">
      <c r="B190" t="s">
        <v>190</v>
      </c>
    </row>
    <row r="191" spans="2:2" x14ac:dyDescent="0.3">
      <c r="B191" t="s">
        <v>191</v>
      </c>
    </row>
    <row r="192" spans="2:2" x14ac:dyDescent="0.3">
      <c r="B192" t="s">
        <v>192</v>
      </c>
    </row>
    <row r="193" spans="2:2" x14ac:dyDescent="0.3">
      <c r="B193" t="s">
        <v>193</v>
      </c>
    </row>
    <row r="194" spans="2:2" x14ac:dyDescent="0.3">
      <c r="B194" t="s">
        <v>194</v>
      </c>
    </row>
    <row r="195" spans="2:2" x14ac:dyDescent="0.3">
      <c r="B195" t="s">
        <v>195</v>
      </c>
    </row>
    <row r="196" spans="2:2" x14ac:dyDescent="0.3">
      <c r="B196" t="s">
        <v>196</v>
      </c>
    </row>
    <row r="197" spans="2:2" x14ac:dyDescent="0.3">
      <c r="B197" t="s">
        <v>197</v>
      </c>
    </row>
    <row r="198" spans="2:2" x14ac:dyDescent="0.3">
      <c r="B198" t="s">
        <v>198</v>
      </c>
    </row>
    <row r="199" spans="2:2" x14ac:dyDescent="0.3">
      <c r="B199" t="s">
        <v>199</v>
      </c>
    </row>
    <row r="200" spans="2:2" x14ac:dyDescent="0.3">
      <c r="B200" t="s">
        <v>200</v>
      </c>
    </row>
    <row r="201" spans="2:2" x14ac:dyDescent="0.3">
      <c r="B201" t="s">
        <v>201</v>
      </c>
    </row>
    <row r="202" spans="2:2" x14ac:dyDescent="0.3">
      <c r="B202" t="s">
        <v>202</v>
      </c>
    </row>
    <row r="203" spans="2:2" x14ac:dyDescent="0.3">
      <c r="B203" t="s">
        <v>203</v>
      </c>
    </row>
    <row r="204" spans="2:2" x14ac:dyDescent="0.3">
      <c r="B204" t="s">
        <v>204</v>
      </c>
    </row>
    <row r="205" spans="2:2" x14ac:dyDescent="0.3">
      <c r="B205" t="s">
        <v>205</v>
      </c>
    </row>
    <row r="206" spans="2:2" x14ac:dyDescent="0.3">
      <c r="B206" t="s">
        <v>206</v>
      </c>
    </row>
    <row r="207" spans="2:2" x14ac:dyDescent="0.3">
      <c r="B207" t="s">
        <v>207</v>
      </c>
    </row>
    <row r="208" spans="2:2" x14ac:dyDescent="0.3">
      <c r="B208" t="s">
        <v>208</v>
      </c>
    </row>
    <row r="209" spans="2:2" x14ac:dyDescent="0.3">
      <c r="B209" t="s">
        <v>209</v>
      </c>
    </row>
    <row r="210" spans="2:2" x14ac:dyDescent="0.3">
      <c r="B210" t="s">
        <v>210</v>
      </c>
    </row>
    <row r="211" spans="2:2" x14ac:dyDescent="0.3">
      <c r="B211" t="s">
        <v>211</v>
      </c>
    </row>
    <row r="212" spans="2:2" x14ac:dyDescent="0.3">
      <c r="B212" t="s">
        <v>212</v>
      </c>
    </row>
    <row r="213" spans="2:2" x14ac:dyDescent="0.3">
      <c r="B213" t="s">
        <v>213</v>
      </c>
    </row>
    <row r="214" spans="2:2" x14ac:dyDescent="0.3">
      <c r="B214" t="s">
        <v>214</v>
      </c>
    </row>
    <row r="215" spans="2:2" x14ac:dyDescent="0.3">
      <c r="B215" t="s">
        <v>215</v>
      </c>
    </row>
    <row r="216" spans="2:2" x14ac:dyDescent="0.3">
      <c r="B216" t="s">
        <v>216</v>
      </c>
    </row>
    <row r="217" spans="2:2" x14ac:dyDescent="0.3">
      <c r="B217" t="s">
        <v>217</v>
      </c>
    </row>
    <row r="218" spans="2:2" x14ac:dyDescent="0.3">
      <c r="B218" t="s">
        <v>218</v>
      </c>
    </row>
    <row r="219" spans="2:2" x14ac:dyDescent="0.3">
      <c r="B219" t="s">
        <v>219</v>
      </c>
    </row>
    <row r="220" spans="2:2" x14ac:dyDescent="0.3">
      <c r="B220" t="s">
        <v>220</v>
      </c>
    </row>
    <row r="221" spans="2:2" x14ac:dyDescent="0.3">
      <c r="B221" t="s">
        <v>221</v>
      </c>
    </row>
    <row r="222" spans="2:2" x14ac:dyDescent="0.3">
      <c r="B222" t="s">
        <v>222</v>
      </c>
    </row>
    <row r="223" spans="2:2" x14ac:dyDescent="0.3">
      <c r="B223" t="s">
        <v>223</v>
      </c>
    </row>
    <row r="224" spans="2:2" x14ac:dyDescent="0.3">
      <c r="B224" t="s">
        <v>224</v>
      </c>
    </row>
    <row r="225" spans="2:2" x14ac:dyDescent="0.3">
      <c r="B225" t="s">
        <v>225</v>
      </c>
    </row>
    <row r="226" spans="2:2" x14ac:dyDescent="0.3">
      <c r="B226" t="s">
        <v>226</v>
      </c>
    </row>
    <row r="227" spans="2:2" x14ac:dyDescent="0.3">
      <c r="B227" t="s">
        <v>227</v>
      </c>
    </row>
    <row r="228" spans="2:2" x14ac:dyDescent="0.3">
      <c r="B228" t="s">
        <v>228</v>
      </c>
    </row>
    <row r="229" spans="2:2" x14ac:dyDescent="0.3">
      <c r="B229" t="s">
        <v>229</v>
      </c>
    </row>
    <row r="230" spans="2:2" x14ac:dyDescent="0.3">
      <c r="B230" t="s">
        <v>230</v>
      </c>
    </row>
    <row r="231" spans="2:2" x14ac:dyDescent="0.3">
      <c r="B231" t="s">
        <v>231</v>
      </c>
    </row>
    <row r="232" spans="2:2" x14ac:dyDescent="0.3">
      <c r="B232" t="s">
        <v>232</v>
      </c>
    </row>
    <row r="233" spans="2:2" x14ac:dyDescent="0.3">
      <c r="B233" t="s">
        <v>233</v>
      </c>
    </row>
    <row r="234" spans="2:2" x14ac:dyDescent="0.3">
      <c r="B234" t="s">
        <v>234</v>
      </c>
    </row>
    <row r="235" spans="2:2" x14ac:dyDescent="0.3">
      <c r="B235" t="s">
        <v>235</v>
      </c>
    </row>
    <row r="236" spans="2:2" x14ac:dyDescent="0.3">
      <c r="B236" t="s">
        <v>236</v>
      </c>
    </row>
    <row r="237" spans="2:2" x14ac:dyDescent="0.3">
      <c r="B237" t="s">
        <v>237</v>
      </c>
    </row>
    <row r="238" spans="2:2" x14ac:dyDescent="0.3">
      <c r="B238" t="s">
        <v>238</v>
      </c>
    </row>
    <row r="239" spans="2:2" x14ac:dyDescent="0.3">
      <c r="B239" t="s">
        <v>239</v>
      </c>
    </row>
    <row r="240" spans="2:2" x14ac:dyDescent="0.3">
      <c r="B240" t="s">
        <v>240</v>
      </c>
    </row>
    <row r="241" spans="2:2" x14ac:dyDescent="0.3">
      <c r="B241" t="s">
        <v>241</v>
      </c>
    </row>
    <row r="242" spans="2:2" x14ac:dyDescent="0.3">
      <c r="B242" t="s">
        <v>242</v>
      </c>
    </row>
    <row r="243" spans="2:2" x14ac:dyDescent="0.3">
      <c r="B243" t="s">
        <v>243</v>
      </c>
    </row>
    <row r="244" spans="2:2" x14ac:dyDescent="0.3">
      <c r="B244" t="s">
        <v>244</v>
      </c>
    </row>
    <row r="245" spans="2:2" x14ac:dyDescent="0.3">
      <c r="B245" t="s">
        <v>245</v>
      </c>
    </row>
    <row r="246" spans="2:2" x14ac:dyDescent="0.3">
      <c r="B246" t="s">
        <v>246</v>
      </c>
    </row>
    <row r="247" spans="2:2" x14ac:dyDescent="0.3">
      <c r="B247" t="s">
        <v>247</v>
      </c>
    </row>
    <row r="248" spans="2:2" x14ac:dyDescent="0.3">
      <c r="B248" t="s">
        <v>248</v>
      </c>
    </row>
    <row r="249" spans="2:2" x14ac:dyDescent="0.3">
      <c r="B249" t="s">
        <v>249</v>
      </c>
    </row>
    <row r="250" spans="2:2" x14ac:dyDescent="0.3">
      <c r="B250" t="s">
        <v>250</v>
      </c>
    </row>
    <row r="251" spans="2:2" x14ac:dyDescent="0.3">
      <c r="B251" t="s">
        <v>251</v>
      </c>
    </row>
    <row r="252" spans="2:2" x14ac:dyDescent="0.3">
      <c r="B252" t="s">
        <v>252</v>
      </c>
    </row>
    <row r="253" spans="2:2" x14ac:dyDescent="0.3">
      <c r="B253" t="s">
        <v>253</v>
      </c>
    </row>
    <row r="254" spans="2:2" x14ac:dyDescent="0.3">
      <c r="B254" t="s">
        <v>254</v>
      </c>
    </row>
    <row r="255" spans="2:2" x14ac:dyDescent="0.3">
      <c r="B255" t="s">
        <v>255</v>
      </c>
    </row>
    <row r="256" spans="2:2" x14ac:dyDescent="0.3">
      <c r="B256" t="s">
        <v>256</v>
      </c>
    </row>
    <row r="257" spans="2:2" x14ac:dyDescent="0.3">
      <c r="B257" t="s">
        <v>257</v>
      </c>
    </row>
    <row r="258" spans="2:2" x14ac:dyDescent="0.3">
      <c r="B258" t="s">
        <v>258</v>
      </c>
    </row>
    <row r="259" spans="2:2" x14ac:dyDescent="0.3">
      <c r="B259" t="s">
        <v>259</v>
      </c>
    </row>
    <row r="260" spans="2:2" x14ac:dyDescent="0.3">
      <c r="B260" t="s">
        <v>260</v>
      </c>
    </row>
    <row r="261" spans="2:2" x14ac:dyDescent="0.3">
      <c r="B261" t="s">
        <v>261</v>
      </c>
    </row>
    <row r="262" spans="2:2" x14ac:dyDescent="0.3">
      <c r="B262" t="s">
        <v>262</v>
      </c>
    </row>
    <row r="263" spans="2:2" x14ac:dyDescent="0.3">
      <c r="B263" t="s">
        <v>263</v>
      </c>
    </row>
    <row r="264" spans="2:2" x14ac:dyDescent="0.3">
      <c r="B264" t="s">
        <v>264</v>
      </c>
    </row>
    <row r="265" spans="2:2" x14ac:dyDescent="0.3">
      <c r="B265" t="s">
        <v>265</v>
      </c>
    </row>
    <row r="266" spans="2:2" x14ac:dyDescent="0.3">
      <c r="B266" t="s">
        <v>266</v>
      </c>
    </row>
    <row r="267" spans="2:2" x14ac:dyDescent="0.3">
      <c r="B267" t="s">
        <v>267</v>
      </c>
    </row>
    <row r="268" spans="2:2" x14ac:dyDescent="0.3">
      <c r="B268" t="s">
        <v>268</v>
      </c>
    </row>
    <row r="269" spans="2:2" x14ac:dyDescent="0.3">
      <c r="B269" t="s">
        <v>269</v>
      </c>
    </row>
    <row r="270" spans="2:2" x14ac:dyDescent="0.3">
      <c r="B270" t="s">
        <v>270</v>
      </c>
    </row>
    <row r="271" spans="2:2" x14ac:dyDescent="0.3">
      <c r="B271" t="s">
        <v>271</v>
      </c>
    </row>
    <row r="272" spans="2:2" x14ac:dyDescent="0.3">
      <c r="B272" t="s">
        <v>272</v>
      </c>
    </row>
    <row r="273" spans="2:2" x14ac:dyDescent="0.3">
      <c r="B273" t="s">
        <v>273</v>
      </c>
    </row>
    <row r="274" spans="2:2" x14ac:dyDescent="0.3">
      <c r="B274" t="s">
        <v>274</v>
      </c>
    </row>
    <row r="275" spans="2:2" x14ac:dyDescent="0.3">
      <c r="B275" t="s">
        <v>275</v>
      </c>
    </row>
    <row r="276" spans="2:2" x14ac:dyDescent="0.3">
      <c r="B276" t="s">
        <v>276</v>
      </c>
    </row>
    <row r="277" spans="2:2" x14ac:dyDescent="0.3">
      <c r="B277" t="s">
        <v>277</v>
      </c>
    </row>
    <row r="278" spans="2:2" x14ac:dyDescent="0.3">
      <c r="B278" t="s">
        <v>278</v>
      </c>
    </row>
    <row r="279" spans="2:2" x14ac:dyDescent="0.3">
      <c r="B279" t="s">
        <v>279</v>
      </c>
    </row>
    <row r="280" spans="2:2" x14ac:dyDescent="0.3">
      <c r="B280" t="s">
        <v>280</v>
      </c>
    </row>
    <row r="281" spans="2:2" x14ac:dyDescent="0.3">
      <c r="B281" t="s">
        <v>281</v>
      </c>
    </row>
    <row r="282" spans="2:2" x14ac:dyDescent="0.3">
      <c r="B282" t="s">
        <v>282</v>
      </c>
    </row>
    <row r="283" spans="2:2" x14ac:dyDescent="0.3">
      <c r="B283" t="s">
        <v>283</v>
      </c>
    </row>
    <row r="284" spans="2:2" x14ac:dyDescent="0.3">
      <c r="B284" t="s">
        <v>284</v>
      </c>
    </row>
    <row r="285" spans="2:2" x14ac:dyDescent="0.3">
      <c r="B285" t="s">
        <v>285</v>
      </c>
    </row>
    <row r="286" spans="2:2" x14ac:dyDescent="0.3">
      <c r="B286" t="s">
        <v>286</v>
      </c>
    </row>
    <row r="287" spans="2:2" x14ac:dyDescent="0.3">
      <c r="B287" t="s">
        <v>287</v>
      </c>
    </row>
    <row r="288" spans="2:2" x14ac:dyDescent="0.3">
      <c r="B288" t="s">
        <v>288</v>
      </c>
    </row>
    <row r="289" spans="2:2" x14ac:dyDescent="0.3">
      <c r="B289" t="s">
        <v>289</v>
      </c>
    </row>
    <row r="290" spans="2:2" x14ac:dyDescent="0.3">
      <c r="B290" t="s">
        <v>290</v>
      </c>
    </row>
    <row r="291" spans="2:2" x14ac:dyDescent="0.3">
      <c r="B291" t="s">
        <v>291</v>
      </c>
    </row>
    <row r="292" spans="2:2" x14ac:dyDescent="0.3">
      <c r="B292" t="s">
        <v>292</v>
      </c>
    </row>
    <row r="293" spans="2:2" x14ac:dyDescent="0.3">
      <c r="B293" t="s">
        <v>293</v>
      </c>
    </row>
    <row r="294" spans="2:2" x14ac:dyDescent="0.3">
      <c r="B294" t="s">
        <v>294</v>
      </c>
    </row>
    <row r="295" spans="2:2" x14ac:dyDescent="0.3">
      <c r="B295" t="s">
        <v>295</v>
      </c>
    </row>
    <row r="296" spans="2:2" x14ac:dyDescent="0.3">
      <c r="B296" t="s">
        <v>296</v>
      </c>
    </row>
    <row r="297" spans="2:2" x14ac:dyDescent="0.3">
      <c r="B297" t="s">
        <v>297</v>
      </c>
    </row>
    <row r="298" spans="2:2" x14ac:dyDescent="0.3">
      <c r="B298" t="s">
        <v>298</v>
      </c>
    </row>
    <row r="299" spans="2:2" x14ac:dyDescent="0.3">
      <c r="B299" t="s">
        <v>299</v>
      </c>
    </row>
    <row r="300" spans="2:2" x14ac:dyDescent="0.3">
      <c r="B300" t="s">
        <v>300</v>
      </c>
    </row>
    <row r="301" spans="2:2" x14ac:dyDescent="0.3">
      <c r="B301" t="s">
        <v>301</v>
      </c>
    </row>
    <row r="302" spans="2:2" x14ac:dyDescent="0.3">
      <c r="B302" t="s">
        <v>302</v>
      </c>
    </row>
    <row r="303" spans="2:2" x14ac:dyDescent="0.3">
      <c r="B303" t="s">
        <v>303</v>
      </c>
    </row>
    <row r="304" spans="2:2" x14ac:dyDescent="0.3">
      <c r="B304" t="s">
        <v>304</v>
      </c>
    </row>
    <row r="305" spans="2:2" x14ac:dyDescent="0.3">
      <c r="B305" t="s">
        <v>305</v>
      </c>
    </row>
    <row r="306" spans="2:2" x14ac:dyDescent="0.3">
      <c r="B306" t="s">
        <v>306</v>
      </c>
    </row>
    <row r="307" spans="2:2" x14ac:dyDescent="0.3">
      <c r="B307" t="s">
        <v>307</v>
      </c>
    </row>
    <row r="308" spans="2:2" x14ac:dyDescent="0.3">
      <c r="B308" t="s">
        <v>308</v>
      </c>
    </row>
    <row r="309" spans="2:2" x14ac:dyDescent="0.3">
      <c r="B309" t="s">
        <v>309</v>
      </c>
    </row>
    <row r="310" spans="2:2" x14ac:dyDescent="0.3">
      <c r="B310" t="s">
        <v>310</v>
      </c>
    </row>
    <row r="311" spans="2:2" x14ac:dyDescent="0.3">
      <c r="B311" t="s">
        <v>311</v>
      </c>
    </row>
    <row r="312" spans="2:2" x14ac:dyDescent="0.3">
      <c r="B312" t="s">
        <v>312</v>
      </c>
    </row>
    <row r="313" spans="2:2" x14ac:dyDescent="0.3">
      <c r="B313" t="s">
        <v>313</v>
      </c>
    </row>
    <row r="314" spans="2:2" x14ac:dyDescent="0.3">
      <c r="B314" t="s">
        <v>314</v>
      </c>
    </row>
    <row r="315" spans="2:2" x14ac:dyDescent="0.3">
      <c r="B315" t="s">
        <v>315</v>
      </c>
    </row>
    <row r="316" spans="2:2" x14ac:dyDescent="0.3">
      <c r="B316" t="s">
        <v>316</v>
      </c>
    </row>
    <row r="317" spans="2:2" x14ac:dyDescent="0.3">
      <c r="B317" t="s">
        <v>317</v>
      </c>
    </row>
    <row r="318" spans="2:2" x14ac:dyDescent="0.3">
      <c r="B318" t="s">
        <v>318</v>
      </c>
    </row>
    <row r="319" spans="2:2" x14ac:dyDescent="0.3">
      <c r="B319" t="s">
        <v>319</v>
      </c>
    </row>
    <row r="320" spans="2:2" x14ac:dyDescent="0.3">
      <c r="B320" t="s">
        <v>320</v>
      </c>
    </row>
    <row r="321" spans="2:2" x14ac:dyDescent="0.3">
      <c r="B321" t="s">
        <v>321</v>
      </c>
    </row>
    <row r="322" spans="2:2" x14ac:dyDescent="0.3">
      <c r="B322" t="s">
        <v>322</v>
      </c>
    </row>
    <row r="323" spans="2:2" x14ac:dyDescent="0.3">
      <c r="B323" t="s">
        <v>323</v>
      </c>
    </row>
    <row r="324" spans="2:2" x14ac:dyDescent="0.3">
      <c r="B324" t="s">
        <v>324</v>
      </c>
    </row>
    <row r="325" spans="2:2" x14ac:dyDescent="0.3">
      <c r="B325" t="s">
        <v>325</v>
      </c>
    </row>
    <row r="326" spans="2:2" x14ac:dyDescent="0.3">
      <c r="B326" t="s">
        <v>326</v>
      </c>
    </row>
    <row r="327" spans="2:2" x14ac:dyDescent="0.3">
      <c r="B327" t="s">
        <v>327</v>
      </c>
    </row>
    <row r="328" spans="2:2" x14ac:dyDescent="0.3">
      <c r="B328" t="s">
        <v>328</v>
      </c>
    </row>
    <row r="329" spans="2:2" x14ac:dyDescent="0.3">
      <c r="B329" t="s">
        <v>329</v>
      </c>
    </row>
    <row r="330" spans="2:2" x14ac:dyDescent="0.3">
      <c r="B330" t="s">
        <v>330</v>
      </c>
    </row>
    <row r="331" spans="2:2" x14ac:dyDescent="0.3">
      <c r="B331" t="s">
        <v>331</v>
      </c>
    </row>
    <row r="332" spans="2:2" x14ac:dyDescent="0.3">
      <c r="B332" t="s">
        <v>332</v>
      </c>
    </row>
    <row r="333" spans="2:2" x14ac:dyDescent="0.3">
      <c r="B333" t="s">
        <v>333</v>
      </c>
    </row>
    <row r="334" spans="2:2" x14ac:dyDescent="0.3">
      <c r="B334" t="s">
        <v>334</v>
      </c>
    </row>
    <row r="335" spans="2:2" x14ac:dyDescent="0.3">
      <c r="B335" t="s">
        <v>335</v>
      </c>
    </row>
    <row r="336" spans="2:2" x14ac:dyDescent="0.3">
      <c r="B336" t="s">
        <v>336</v>
      </c>
    </row>
    <row r="337" spans="2:2" x14ac:dyDescent="0.3">
      <c r="B337" t="s">
        <v>337</v>
      </c>
    </row>
    <row r="338" spans="2:2" x14ac:dyDescent="0.3">
      <c r="B338" t="s">
        <v>338</v>
      </c>
    </row>
    <row r="339" spans="2:2" x14ac:dyDescent="0.3">
      <c r="B339" t="s">
        <v>339</v>
      </c>
    </row>
    <row r="340" spans="2:2" x14ac:dyDescent="0.3">
      <c r="B340" t="s">
        <v>340</v>
      </c>
    </row>
    <row r="341" spans="2:2" x14ac:dyDescent="0.3">
      <c r="B341" t="s">
        <v>341</v>
      </c>
    </row>
    <row r="342" spans="2:2" x14ac:dyDescent="0.3">
      <c r="B342" t="s">
        <v>342</v>
      </c>
    </row>
    <row r="343" spans="2:2" x14ac:dyDescent="0.3">
      <c r="B343" t="s">
        <v>343</v>
      </c>
    </row>
    <row r="344" spans="2:2" x14ac:dyDescent="0.3">
      <c r="B344" t="s">
        <v>344</v>
      </c>
    </row>
    <row r="345" spans="2:2" x14ac:dyDescent="0.3">
      <c r="B345" t="s">
        <v>345</v>
      </c>
    </row>
    <row r="346" spans="2:2" x14ac:dyDescent="0.3">
      <c r="B346" t="s">
        <v>346</v>
      </c>
    </row>
    <row r="347" spans="2:2" x14ac:dyDescent="0.3">
      <c r="B347" t="s">
        <v>347</v>
      </c>
    </row>
    <row r="348" spans="2:2" x14ac:dyDescent="0.3">
      <c r="B348" t="s">
        <v>348</v>
      </c>
    </row>
    <row r="349" spans="2:2" x14ac:dyDescent="0.3">
      <c r="B349" t="s">
        <v>349</v>
      </c>
    </row>
    <row r="350" spans="2:2" x14ac:dyDescent="0.3">
      <c r="B350" t="s">
        <v>350</v>
      </c>
    </row>
    <row r="351" spans="2:2" x14ac:dyDescent="0.3">
      <c r="B351" t="s">
        <v>351</v>
      </c>
    </row>
    <row r="352" spans="2:2" x14ac:dyDescent="0.3">
      <c r="B352" t="s">
        <v>352</v>
      </c>
    </row>
    <row r="353" spans="2:2" x14ac:dyDescent="0.3">
      <c r="B353" t="s">
        <v>353</v>
      </c>
    </row>
    <row r="354" spans="2:2" x14ac:dyDescent="0.3">
      <c r="B354" t="s">
        <v>354</v>
      </c>
    </row>
    <row r="355" spans="2:2" x14ac:dyDescent="0.3">
      <c r="B355" t="s">
        <v>355</v>
      </c>
    </row>
    <row r="356" spans="2:2" x14ac:dyDescent="0.3">
      <c r="B356" t="s">
        <v>356</v>
      </c>
    </row>
    <row r="357" spans="2:2" x14ac:dyDescent="0.3">
      <c r="B357" t="s">
        <v>357</v>
      </c>
    </row>
    <row r="358" spans="2:2" x14ac:dyDescent="0.3">
      <c r="B358" t="s">
        <v>358</v>
      </c>
    </row>
    <row r="359" spans="2:2" x14ac:dyDescent="0.3">
      <c r="B359" t="s">
        <v>359</v>
      </c>
    </row>
    <row r="360" spans="2:2" x14ac:dyDescent="0.3">
      <c r="B360" t="s">
        <v>360</v>
      </c>
    </row>
    <row r="361" spans="2:2" x14ac:dyDescent="0.3">
      <c r="B361" t="s">
        <v>361</v>
      </c>
    </row>
    <row r="362" spans="2:2" x14ac:dyDescent="0.3">
      <c r="B362" t="s">
        <v>362</v>
      </c>
    </row>
    <row r="363" spans="2:2" x14ac:dyDescent="0.3">
      <c r="B363" t="s">
        <v>363</v>
      </c>
    </row>
    <row r="364" spans="2:2" x14ac:dyDescent="0.3">
      <c r="B364" t="s">
        <v>364</v>
      </c>
    </row>
    <row r="365" spans="2:2" x14ac:dyDescent="0.3">
      <c r="B365" t="s">
        <v>365</v>
      </c>
    </row>
    <row r="366" spans="2:2" x14ac:dyDescent="0.3">
      <c r="B366" t="s">
        <v>366</v>
      </c>
    </row>
    <row r="367" spans="2:2" x14ac:dyDescent="0.3">
      <c r="B367" t="s">
        <v>367</v>
      </c>
    </row>
    <row r="368" spans="2:2" x14ac:dyDescent="0.3">
      <c r="B368" t="s">
        <v>368</v>
      </c>
    </row>
    <row r="369" spans="2:2" x14ac:dyDescent="0.3">
      <c r="B369" t="s">
        <v>369</v>
      </c>
    </row>
    <row r="370" spans="2:2" x14ac:dyDescent="0.3">
      <c r="B370" t="s">
        <v>370</v>
      </c>
    </row>
    <row r="371" spans="2:2" x14ac:dyDescent="0.3">
      <c r="B371" t="s">
        <v>371</v>
      </c>
    </row>
    <row r="372" spans="2:2" x14ac:dyDescent="0.3">
      <c r="B372" t="s">
        <v>372</v>
      </c>
    </row>
    <row r="373" spans="2:2" x14ac:dyDescent="0.3">
      <c r="B373" t="s">
        <v>373</v>
      </c>
    </row>
    <row r="374" spans="2:2" x14ac:dyDescent="0.3">
      <c r="B374" t="s">
        <v>374</v>
      </c>
    </row>
    <row r="375" spans="2:2" x14ac:dyDescent="0.3">
      <c r="B375" t="s">
        <v>375</v>
      </c>
    </row>
    <row r="376" spans="2:2" x14ac:dyDescent="0.3">
      <c r="B376" t="s">
        <v>376</v>
      </c>
    </row>
    <row r="377" spans="2:2" x14ac:dyDescent="0.3">
      <c r="B377" t="s">
        <v>377</v>
      </c>
    </row>
    <row r="378" spans="2:2" x14ac:dyDescent="0.3">
      <c r="B378" t="s">
        <v>378</v>
      </c>
    </row>
    <row r="379" spans="2:2" x14ac:dyDescent="0.3">
      <c r="B379" t="s">
        <v>379</v>
      </c>
    </row>
    <row r="380" spans="2:2" x14ac:dyDescent="0.3">
      <c r="B380" t="s">
        <v>380</v>
      </c>
    </row>
    <row r="381" spans="2:2" x14ac:dyDescent="0.3">
      <c r="B381" t="s">
        <v>381</v>
      </c>
    </row>
    <row r="382" spans="2:2" x14ac:dyDescent="0.3">
      <c r="B382" t="s">
        <v>382</v>
      </c>
    </row>
    <row r="383" spans="2:2" x14ac:dyDescent="0.3">
      <c r="B383" t="s">
        <v>383</v>
      </c>
    </row>
    <row r="384" spans="2:2" x14ac:dyDescent="0.3">
      <c r="B384" t="s">
        <v>384</v>
      </c>
    </row>
    <row r="385" spans="2:2" x14ac:dyDescent="0.3">
      <c r="B385" t="s">
        <v>385</v>
      </c>
    </row>
    <row r="386" spans="2:2" x14ac:dyDescent="0.3">
      <c r="B386" t="s">
        <v>386</v>
      </c>
    </row>
    <row r="387" spans="2:2" x14ac:dyDescent="0.3">
      <c r="B387" t="s">
        <v>387</v>
      </c>
    </row>
    <row r="388" spans="2:2" x14ac:dyDescent="0.3">
      <c r="B388" t="s">
        <v>388</v>
      </c>
    </row>
    <row r="389" spans="2:2" x14ac:dyDescent="0.3">
      <c r="B389" t="s">
        <v>389</v>
      </c>
    </row>
    <row r="390" spans="2:2" x14ac:dyDescent="0.3">
      <c r="B390" t="s">
        <v>390</v>
      </c>
    </row>
    <row r="391" spans="2:2" x14ac:dyDescent="0.3">
      <c r="B391" t="s">
        <v>391</v>
      </c>
    </row>
    <row r="392" spans="2:2" x14ac:dyDescent="0.3">
      <c r="B392" t="s">
        <v>392</v>
      </c>
    </row>
    <row r="393" spans="2:2" x14ac:dyDescent="0.3">
      <c r="B393" t="s">
        <v>393</v>
      </c>
    </row>
    <row r="394" spans="2:2" x14ac:dyDescent="0.3">
      <c r="B394" t="s">
        <v>394</v>
      </c>
    </row>
    <row r="395" spans="2:2" x14ac:dyDescent="0.3">
      <c r="B395" t="s">
        <v>395</v>
      </c>
    </row>
    <row r="396" spans="2:2" x14ac:dyDescent="0.3">
      <c r="B396" t="s">
        <v>396</v>
      </c>
    </row>
    <row r="397" spans="2:2" x14ac:dyDescent="0.3">
      <c r="B397" t="s">
        <v>397</v>
      </c>
    </row>
    <row r="398" spans="2:2" x14ac:dyDescent="0.3">
      <c r="B398" t="s">
        <v>398</v>
      </c>
    </row>
    <row r="399" spans="2:2" x14ac:dyDescent="0.3">
      <c r="B399" t="s">
        <v>399</v>
      </c>
    </row>
    <row r="400" spans="2:2" x14ac:dyDescent="0.3">
      <c r="B400" t="s">
        <v>400</v>
      </c>
    </row>
    <row r="401" spans="2:2" x14ac:dyDescent="0.3">
      <c r="B401" t="s">
        <v>401</v>
      </c>
    </row>
    <row r="402" spans="2:2" x14ac:dyDescent="0.3">
      <c r="B402" t="s">
        <v>402</v>
      </c>
    </row>
    <row r="403" spans="2:2" x14ac:dyDescent="0.3">
      <c r="B403" t="s">
        <v>403</v>
      </c>
    </row>
    <row r="404" spans="2:2" x14ac:dyDescent="0.3">
      <c r="B404" t="s">
        <v>404</v>
      </c>
    </row>
    <row r="405" spans="2:2" x14ac:dyDescent="0.3">
      <c r="B405" t="s">
        <v>405</v>
      </c>
    </row>
    <row r="406" spans="2:2" x14ac:dyDescent="0.3">
      <c r="B406" t="s">
        <v>406</v>
      </c>
    </row>
    <row r="407" spans="2:2" x14ac:dyDescent="0.3">
      <c r="B407" t="s">
        <v>407</v>
      </c>
    </row>
    <row r="408" spans="2:2" x14ac:dyDescent="0.3">
      <c r="B408" t="s">
        <v>408</v>
      </c>
    </row>
    <row r="409" spans="2:2" x14ac:dyDescent="0.3">
      <c r="B409" t="s">
        <v>409</v>
      </c>
    </row>
    <row r="410" spans="2:2" x14ac:dyDescent="0.3">
      <c r="B410" t="s">
        <v>410</v>
      </c>
    </row>
    <row r="411" spans="2:2" x14ac:dyDescent="0.3">
      <c r="B411" t="s">
        <v>411</v>
      </c>
    </row>
    <row r="412" spans="2:2" x14ac:dyDescent="0.3">
      <c r="B412" t="s">
        <v>412</v>
      </c>
    </row>
    <row r="413" spans="2:2" x14ac:dyDescent="0.3">
      <c r="B413" t="s">
        <v>413</v>
      </c>
    </row>
    <row r="414" spans="2:2" x14ac:dyDescent="0.3">
      <c r="B414" t="s">
        <v>414</v>
      </c>
    </row>
    <row r="415" spans="2:2" x14ac:dyDescent="0.3">
      <c r="B415" t="s">
        <v>415</v>
      </c>
    </row>
    <row r="416" spans="2:2" x14ac:dyDescent="0.3">
      <c r="B416" t="s">
        <v>416</v>
      </c>
    </row>
    <row r="417" spans="2:2" x14ac:dyDescent="0.3">
      <c r="B417" t="s">
        <v>417</v>
      </c>
    </row>
    <row r="418" spans="2:2" x14ac:dyDescent="0.3">
      <c r="B418" t="s">
        <v>418</v>
      </c>
    </row>
    <row r="419" spans="2:2" x14ac:dyDescent="0.3">
      <c r="B419" t="s">
        <v>419</v>
      </c>
    </row>
    <row r="420" spans="2:2" x14ac:dyDescent="0.3">
      <c r="B420" t="s">
        <v>420</v>
      </c>
    </row>
    <row r="421" spans="2:2" x14ac:dyDescent="0.3">
      <c r="B421" t="s">
        <v>421</v>
      </c>
    </row>
    <row r="422" spans="2:2" x14ac:dyDescent="0.3">
      <c r="B422" t="s">
        <v>422</v>
      </c>
    </row>
    <row r="423" spans="2:2" x14ac:dyDescent="0.3">
      <c r="B423" t="s">
        <v>423</v>
      </c>
    </row>
    <row r="424" spans="2:2" x14ac:dyDescent="0.3">
      <c r="B424" t="s">
        <v>424</v>
      </c>
    </row>
    <row r="425" spans="2:2" x14ac:dyDescent="0.3">
      <c r="B425" t="s">
        <v>424</v>
      </c>
    </row>
    <row r="426" spans="2:2" x14ac:dyDescent="0.3">
      <c r="B426" t="s">
        <v>425</v>
      </c>
    </row>
    <row r="427" spans="2:2" x14ac:dyDescent="0.3">
      <c r="B427" t="s">
        <v>426</v>
      </c>
    </row>
    <row r="428" spans="2:2" x14ac:dyDescent="0.3">
      <c r="B428" t="s">
        <v>427</v>
      </c>
    </row>
    <row r="429" spans="2:2" x14ac:dyDescent="0.3">
      <c r="B429" t="s">
        <v>428</v>
      </c>
    </row>
    <row r="430" spans="2:2" x14ac:dyDescent="0.3">
      <c r="B430" t="s">
        <v>429</v>
      </c>
    </row>
    <row r="431" spans="2:2" x14ac:dyDescent="0.3">
      <c r="B431" t="s">
        <v>430</v>
      </c>
    </row>
    <row r="432" spans="2:2" x14ac:dyDescent="0.3">
      <c r="B432" t="s">
        <v>431</v>
      </c>
    </row>
    <row r="433" spans="2:2" x14ac:dyDescent="0.3">
      <c r="B433" t="s">
        <v>432</v>
      </c>
    </row>
    <row r="434" spans="2:2" x14ac:dyDescent="0.3">
      <c r="B434" t="s">
        <v>433</v>
      </c>
    </row>
    <row r="435" spans="2:2" x14ac:dyDescent="0.3">
      <c r="B435" t="s">
        <v>434</v>
      </c>
    </row>
    <row r="436" spans="2:2" x14ac:dyDescent="0.3">
      <c r="B436" t="s">
        <v>435</v>
      </c>
    </row>
    <row r="437" spans="2:2" x14ac:dyDescent="0.3">
      <c r="B437" t="s">
        <v>436</v>
      </c>
    </row>
    <row r="438" spans="2:2" x14ac:dyDescent="0.3">
      <c r="B438" t="s">
        <v>437</v>
      </c>
    </row>
    <row r="439" spans="2:2" x14ac:dyDescent="0.3">
      <c r="B439" t="s">
        <v>438</v>
      </c>
    </row>
    <row r="440" spans="2:2" x14ac:dyDescent="0.3">
      <c r="B440" t="s">
        <v>439</v>
      </c>
    </row>
    <row r="441" spans="2:2" x14ac:dyDescent="0.3">
      <c r="B441" t="s">
        <v>440</v>
      </c>
    </row>
    <row r="442" spans="2:2" x14ac:dyDescent="0.3">
      <c r="B442" t="s">
        <v>441</v>
      </c>
    </row>
    <row r="443" spans="2:2" x14ac:dyDescent="0.3">
      <c r="B443" t="s">
        <v>442</v>
      </c>
    </row>
    <row r="444" spans="2:2" x14ac:dyDescent="0.3">
      <c r="B444" t="s">
        <v>443</v>
      </c>
    </row>
    <row r="445" spans="2:2" x14ac:dyDescent="0.3">
      <c r="B445" t="s">
        <v>444</v>
      </c>
    </row>
    <row r="446" spans="2:2" x14ac:dyDescent="0.3">
      <c r="B446" t="s">
        <v>445</v>
      </c>
    </row>
    <row r="447" spans="2:2" x14ac:dyDescent="0.3">
      <c r="B447" t="s">
        <v>446</v>
      </c>
    </row>
    <row r="448" spans="2:2" x14ac:dyDescent="0.3">
      <c r="B448" t="s">
        <v>447</v>
      </c>
    </row>
    <row r="449" spans="2:2" x14ac:dyDescent="0.3">
      <c r="B449" t="s">
        <v>448</v>
      </c>
    </row>
    <row r="450" spans="2:2" x14ac:dyDescent="0.3">
      <c r="B450" t="s">
        <v>449</v>
      </c>
    </row>
    <row r="451" spans="2:2" x14ac:dyDescent="0.3">
      <c r="B451" t="s">
        <v>450</v>
      </c>
    </row>
    <row r="452" spans="2:2" x14ac:dyDescent="0.3">
      <c r="B452" t="s">
        <v>451</v>
      </c>
    </row>
    <row r="453" spans="2:2" x14ac:dyDescent="0.3">
      <c r="B453" t="s">
        <v>452</v>
      </c>
    </row>
    <row r="454" spans="2:2" x14ac:dyDescent="0.3">
      <c r="B454" t="s">
        <v>453</v>
      </c>
    </row>
    <row r="455" spans="2:2" x14ac:dyDescent="0.3">
      <c r="B455" t="s">
        <v>454</v>
      </c>
    </row>
    <row r="456" spans="2:2" x14ac:dyDescent="0.3">
      <c r="B456" t="s">
        <v>455</v>
      </c>
    </row>
    <row r="457" spans="2:2" x14ac:dyDescent="0.3">
      <c r="B457" t="s">
        <v>456</v>
      </c>
    </row>
    <row r="458" spans="2:2" x14ac:dyDescent="0.3">
      <c r="B458" t="s">
        <v>457</v>
      </c>
    </row>
    <row r="459" spans="2:2" x14ac:dyDescent="0.3">
      <c r="B459" t="s">
        <v>458</v>
      </c>
    </row>
    <row r="460" spans="2:2" x14ac:dyDescent="0.3">
      <c r="B460" t="s">
        <v>459</v>
      </c>
    </row>
    <row r="461" spans="2:2" x14ac:dyDescent="0.3">
      <c r="B461" t="s">
        <v>460</v>
      </c>
    </row>
    <row r="462" spans="2:2" x14ac:dyDescent="0.3">
      <c r="B462" t="s">
        <v>461</v>
      </c>
    </row>
    <row r="463" spans="2:2" x14ac:dyDescent="0.3">
      <c r="B463" t="s">
        <v>462</v>
      </c>
    </row>
    <row r="464" spans="2:2" x14ac:dyDescent="0.3">
      <c r="B464" t="s">
        <v>463</v>
      </c>
    </row>
    <row r="465" spans="2:2" x14ac:dyDescent="0.3">
      <c r="B465" t="s">
        <v>464</v>
      </c>
    </row>
    <row r="466" spans="2:2" x14ac:dyDescent="0.3">
      <c r="B466" t="s">
        <v>465</v>
      </c>
    </row>
    <row r="467" spans="2:2" x14ac:dyDescent="0.3">
      <c r="B467" t="s">
        <v>466</v>
      </c>
    </row>
    <row r="468" spans="2:2" x14ac:dyDescent="0.3">
      <c r="B468" t="s">
        <v>467</v>
      </c>
    </row>
    <row r="469" spans="2:2" x14ac:dyDescent="0.3">
      <c r="B469" t="s">
        <v>468</v>
      </c>
    </row>
    <row r="470" spans="2:2" x14ac:dyDescent="0.3">
      <c r="B470" t="s">
        <v>469</v>
      </c>
    </row>
    <row r="471" spans="2:2" x14ac:dyDescent="0.3">
      <c r="B471" t="s">
        <v>470</v>
      </c>
    </row>
    <row r="472" spans="2:2" x14ac:dyDescent="0.3">
      <c r="B472" t="s">
        <v>471</v>
      </c>
    </row>
    <row r="473" spans="2:2" x14ac:dyDescent="0.3">
      <c r="B473" t="s">
        <v>472</v>
      </c>
    </row>
    <row r="474" spans="2:2" x14ac:dyDescent="0.3">
      <c r="B474" t="s">
        <v>473</v>
      </c>
    </row>
    <row r="475" spans="2:2" x14ac:dyDescent="0.3">
      <c r="B475" t="s">
        <v>474</v>
      </c>
    </row>
    <row r="476" spans="2:2" x14ac:dyDescent="0.3">
      <c r="B476" t="s">
        <v>475</v>
      </c>
    </row>
    <row r="477" spans="2:2" x14ac:dyDescent="0.3">
      <c r="B477" t="s">
        <v>476</v>
      </c>
    </row>
    <row r="478" spans="2:2" x14ac:dyDescent="0.3">
      <c r="B478" t="s">
        <v>477</v>
      </c>
    </row>
    <row r="479" spans="2:2" x14ac:dyDescent="0.3">
      <c r="B479" t="s">
        <v>478</v>
      </c>
    </row>
    <row r="480" spans="2:2" x14ac:dyDescent="0.3">
      <c r="B480" t="s">
        <v>479</v>
      </c>
    </row>
    <row r="481" spans="2:2" x14ac:dyDescent="0.3">
      <c r="B481" t="s">
        <v>480</v>
      </c>
    </row>
    <row r="482" spans="2:2" x14ac:dyDescent="0.3">
      <c r="B482" t="s">
        <v>481</v>
      </c>
    </row>
    <row r="483" spans="2:2" x14ac:dyDescent="0.3">
      <c r="B483" t="s">
        <v>482</v>
      </c>
    </row>
    <row r="484" spans="2:2" x14ac:dyDescent="0.3">
      <c r="B484" t="s">
        <v>483</v>
      </c>
    </row>
    <row r="485" spans="2:2" x14ac:dyDescent="0.3">
      <c r="B485" t="s">
        <v>484</v>
      </c>
    </row>
    <row r="486" spans="2:2" x14ac:dyDescent="0.3">
      <c r="B486" t="s">
        <v>485</v>
      </c>
    </row>
    <row r="487" spans="2:2" x14ac:dyDescent="0.3">
      <c r="B487" t="s">
        <v>486</v>
      </c>
    </row>
    <row r="488" spans="2:2" x14ac:dyDescent="0.3">
      <c r="B488" t="s">
        <v>487</v>
      </c>
    </row>
    <row r="489" spans="2:2" x14ac:dyDescent="0.3">
      <c r="B489" t="s">
        <v>488</v>
      </c>
    </row>
    <row r="490" spans="2:2" x14ac:dyDescent="0.3">
      <c r="B490" t="s">
        <v>489</v>
      </c>
    </row>
    <row r="491" spans="2:2" x14ac:dyDescent="0.3">
      <c r="B491" t="s">
        <v>490</v>
      </c>
    </row>
    <row r="492" spans="2:2" x14ac:dyDescent="0.3">
      <c r="B492" t="s">
        <v>491</v>
      </c>
    </row>
    <row r="493" spans="2:2" x14ac:dyDescent="0.3">
      <c r="B493" t="s">
        <v>492</v>
      </c>
    </row>
    <row r="494" spans="2:2" x14ac:dyDescent="0.3">
      <c r="B494" t="s">
        <v>493</v>
      </c>
    </row>
    <row r="495" spans="2:2" x14ac:dyDescent="0.3">
      <c r="B495" t="s">
        <v>494</v>
      </c>
    </row>
    <row r="496" spans="2:2" x14ac:dyDescent="0.3">
      <c r="B496" t="s">
        <v>495</v>
      </c>
    </row>
    <row r="497" spans="2:2" x14ac:dyDescent="0.3">
      <c r="B497" t="s">
        <v>496</v>
      </c>
    </row>
    <row r="498" spans="2:2" x14ac:dyDescent="0.3">
      <c r="B498" t="s">
        <v>497</v>
      </c>
    </row>
    <row r="499" spans="2:2" x14ac:dyDescent="0.3">
      <c r="B499" t="s">
        <v>498</v>
      </c>
    </row>
    <row r="500" spans="2:2" x14ac:dyDescent="0.3">
      <c r="B500" t="s">
        <v>499</v>
      </c>
    </row>
    <row r="501" spans="2:2" x14ac:dyDescent="0.3">
      <c r="B501" t="s">
        <v>500</v>
      </c>
    </row>
    <row r="502" spans="2:2" x14ac:dyDescent="0.3">
      <c r="B502" t="s">
        <v>501</v>
      </c>
    </row>
    <row r="503" spans="2:2" x14ac:dyDescent="0.3">
      <c r="B503" t="s">
        <v>502</v>
      </c>
    </row>
    <row r="504" spans="2:2" x14ac:dyDescent="0.3">
      <c r="B504" t="s">
        <v>503</v>
      </c>
    </row>
    <row r="505" spans="2:2" x14ac:dyDescent="0.3">
      <c r="B505" t="s">
        <v>504</v>
      </c>
    </row>
    <row r="506" spans="2:2" x14ac:dyDescent="0.3">
      <c r="B506" t="s">
        <v>505</v>
      </c>
    </row>
    <row r="507" spans="2:2" x14ac:dyDescent="0.3">
      <c r="B507" t="s">
        <v>506</v>
      </c>
    </row>
    <row r="508" spans="2:2" x14ac:dyDescent="0.3">
      <c r="B508" t="s">
        <v>507</v>
      </c>
    </row>
    <row r="509" spans="2:2" x14ac:dyDescent="0.3">
      <c r="B509" t="s">
        <v>508</v>
      </c>
    </row>
    <row r="510" spans="2:2" x14ac:dyDescent="0.3">
      <c r="B510" t="s">
        <v>509</v>
      </c>
    </row>
    <row r="511" spans="2:2" x14ac:dyDescent="0.3">
      <c r="B511" t="s">
        <v>510</v>
      </c>
    </row>
    <row r="512" spans="2:2" x14ac:dyDescent="0.3">
      <c r="B512" t="s">
        <v>511</v>
      </c>
    </row>
    <row r="513" spans="2:2" x14ac:dyDescent="0.3">
      <c r="B513" t="s">
        <v>512</v>
      </c>
    </row>
    <row r="514" spans="2:2" x14ac:dyDescent="0.3">
      <c r="B514" t="s">
        <v>513</v>
      </c>
    </row>
    <row r="515" spans="2:2" x14ac:dyDescent="0.3">
      <c r="B515" t="s">
        <v>514</v>
      </c>
    </row>
    <row r="516" spans="2:2" x14ac:dyDescent="0.3">
      <c r="B516" t="s">
        <v>515</v>
      </c>
    </row>
    <row r="517" spans="2:2" x14ac:dyDescent="0.3">
      <c r="B517" t="s">
        <v>516</v>
      </c>
    </row>
    <row r="518" spans="2:2" x14ac:dyDescent="0.3">
      <c r="B518" t="s">
        <v>517</v>
      </c>
    </row>
    <row r="519" spans="2:2" x14ac:dyDescent="0.3">
      <c r="B519" t="s">
        <v>518</v>
      </c>
    </row>
    <row r="520" spans="2:2" x14ac:dyDescent="0.3">
      <c r="B520" t="s">
        <v>519</v>
      </c>
    </row>
    <row r="521" spans="2:2" x14ac:dyDescent="0.3">
      <c r="B521" t="s">
        <v>520</v>
      </c>
    </row>
    <row r="522" spans="2:2" x14ac:dyDescent="0.3">
      <c r="B522" t="s">
        <v>521</v>
      </c>
    </row>
    <row r="523" spans="2:2" x14ac:dyDescent="0.3">
      <c r="B523" t="s">
        <v>522</v>
      </c>
    </row>
    <row r="524" spans="2:2" x14ac:dyDescent="0.3">
      <c r="B524" t="s">
        <v>523</v>
      </c>
    </row>
    <row r="525" spans="2:2" x14ac:dyDescent="0.3">
      <c r="B525" t="s">
        <v>524</v>
      </c>
    </row>
    <row r="526" spans="2:2" x14ac:dyDescent="0.3">
      <c r="B526" t="s">
        <v>525</v>
      </c>
    </row>
    <row r="527" spans="2:2" x14ac:dyDescent="0.3">
      <c r="B527" t="s">
        <v>526</v>
      </c>
    </row>
    <row r="528" spans="2:2" x14ac:dyDescent="0.3">
      <c r="B528" t="s">
        <v>527</v>
      </c>
    </row>
    <row r="529" spans="2:2" x14ac:dyDescent="0.3">
      <c r="B529" t="s">
        <v>528</v>
      </c>
    </row>
    <row r="530" spans="2:2" x14ac:dyDescent="0.3">
      <c r="B530" t="s">
        <v>529</v>
      </c>
    </row>
    <row r="531" spans="2:2" x14ac:dyDescent="0.3">
      <c r="B531" t="s">
        <v>530</v>
      </c>
    </row>
    <row r="532" spans="2:2" x14ac:dyDescent="0.3">
      <c r="B532" t="s">
        <v>531</v>
      </c>
    </row>
    <row r="533" spans="2:2" x14ac:dyDescent="0.3">
      <c r="B533" t="s">
        <v>532</v>
      </c>
    </row>
    <row r="534" spans="2:2" x14ac:dyDescent="0.3">
      <c r="B534" t="s">
        <v>533</v>
      </c>
    </row>
    <row r="535" spans="2:2" x14ac:dyDescent="0.3">
      <c r="B535" t="s">
        <v>534</v>
      </c>
    </row>
    <row r="536" spans="2:2" x14ac:dyDescent="0.3">
      <c r="B536" t="s">
        <v>535</v>
      </c>
    </row>
    <row r="537" spans="2:2" x14ac:dyDescent="0.3">
      <c r="B537" t="s">
        <v>536</v>
      </c>
    </row>
    <row r="538" spans="2:2" x14ac:dyDescent="0.3">
      <c r="B538" t="s">
        <v>537</v>
      </c>
    </row>
    <row r="539" spans="2:2" x14ac:dyDescent="0.3">
      <c r="B539" t="s">
        <v>538</v>
      </c>
    </row>
    <row r="540" spans="2:2" x14ac:dyDescent="0.3">
      <c r="B540" t="s">
        <v>539</v>
      </c>
    </row>
    <row r="541" spans="2:2" x14ac:dyDescent="0.3">
      <c r="B541" t="s">
        <v>540</v>
      </c>
    </row>
    <row r="542" spans="2:2" x14ac:dyDescent="0.3">
      <c r="B542" t="s">
        <v>541</v>
      </c>
    </row>
    <row r="543" spans="2:2" x14ac:dyDescent="0.3">
      <c r="B543" t="s">
        <v>542</v>
      </c>
    </row>
    <row r="544" spans="2:2" x14ac:dyDescent="0.3">
      <c r="B544" t="s">
        <v>543</v>
      </c>
    </row>
    <row r="545" spans="2:2" x14ac:dyDescent="0.3">
      <c r="B545" t="s">
        <v>544</v>
      </c>
    </row>
    <row r="546" spans="2:2" x14ac:dyDescent="0.3">
      <c r="B546" t="s">
        <v>545</v>
      </c>
    </row>
    <row r="547" spans="2:2" x14ac:dyDescent="0.3">
      <c r="B547" t="s">
        <v>546</v>
      </c>
    </row>
    <row r="548" spans="2:2" x14ac:dyDescent="0.3">
      <c r="B548" t="s">
        <v>547</v>
      </c>
    </row>
    <row r="549" spans="2:2" x14ac:dyDescent="0.3">
      <c r="B549" t="s">
        <v>548</v>
      </c>
    </row>
    <row r="550" spans="2:2" x14ac:dyDescent="0.3">
      <c r="B550" t="s">
        <v>549</v>
      </c>
    </row>
    <row r="551" spans="2:2" x14ac:dyDescent="0.3">
      <c r="B551" t="s">
        <v>550</v>
      </c>
    </row>
    <row r="552" spans="2:2" x14ac:dyDescent="0.3">
      <c r="B552" t="s">
        <v>551</v>
      </c>
    </row>
    <row r="553" spans="2:2" x14ac:dyDescent="0.3">
      <c r="B553" t="s">
        <v>552</v>
      </c>
    </row>
    <row r="554" spans="2:2" x14ac:dyDescent="0.3">
      <c r="B554" t="s">
        <v>553</v>
      </c>
    </row>
    <row r="555" spans="2:2" x14ac:dyDescent="0.3">
      <c r="B555" t="s">
        <v>554</v>
      </c>
    </row>
    <row r="556" spans="2:2" x14ac:dyDescent="0.3">
      <c r="B556" t="s">
        <v>555</v>
      </c>
    </row>
    <row r="557" spans="2:2" x14ac:dyDescent="0.3">
      <c r="B557" t="s">
        <v>556</v>
      </c>
    </row>
    <row r="558" spans="2:2" x14ac:dyDescent="0.3">
      <c r="B558" t="s">
        <v>557</v>
      </c>
    </row>
    <row r="559" spans="2:2" x14ac:dyDescent="0.3">
      <c r="B559" t="s">
        <v>558</v>
      </c>
    </row>
    <row r="560" spans="2:2" x14ac:dyDescent="0.3">
      <c r="B560" t="s">
        <v>559</v>
      </c>
    </row>
    <row r="561" spans="2:2" x14ac:dyDescent="0.3">
      <c r="B561" t="s">
        <v>560</v>
      </c>
    </row>
    <row r="562" spans="2:2" x14ac:dyDescent="0.3">
      <c r="B562" t="s">
        <v>561</v>
      </c>
    </row>
    <row r="563" spans="2:2" x14ac:dyDescent="0.3">
      <c r="B563" t="s">
        <v>562</v>
      </c>
    </row>
    <row r="564" spans="2:2" x14ac:dyDescent="0.3">
      <c r="B564" t="s">
        <v>563</v>
      </c>
    </row>
    <row r="565" spans="2:2" x14ac:dyDescent="0.3">
      <c r="B565" t="s">
        <v>564</v>
      </c>
    </row>
    <row r="566" spans="2:2" x14ac:dyDescent="0.3">
      <c r="B566" t="s">
        <v>565</v>
      </c>
    </row>
    <row r="567" spans="2:2" x14ac:dyDescent="0.3">
      <c r="B567" t="s">
        <v>566</v>
      </c>
    </row>
    <row r="568" spans="2:2" x14ac:dyDescent="0.3">
      <c r="B568" t="s">
        <v>567</v>
      </c>
    </row>
    <row r="569" spans="2:2" x14ac:dyDescent="0.3">
      <c r="B569" t="s">
        <v>568</v>
      </c>
    </row>
    <row r="570" spans="2:2" x14ac:dyDescent="0.3">
      <c r="B570" t="s">
        <v>569</v>
      </c>
    </row>
    <row r="571" spans="2:2" x14ac:dyDescent="0.3">
      <c r="B571" t="s">
        <v>570</v>
      </c>
    </row>
    <row r="572" spans="2:2" x14ac:dyDescent="0.3">
      <c r="B572" t="s">
        <v>571</v>
      </c>
    </row>
    <row r="573" spans="2:2" x14ac:dyDescent="0.3">
      <c r="B573" t="s">
        <v>572</v>
      </c>
    </row>
    <row r="574" spans="2:2" x14ac:dyDescent="0.3">
      <c r="B574" t="s">
        <v>573</v>
      </c>
    </row>
    <row r="575" spans="2:2" x14ac:dyDescent="0.3">
      <c r="B575" t="s">
        <v>574</v>
      </c>
    </row>
    <row r="576" spans="2:2" x14ac:dyDescent="0.3">
      <c r="B576" t="s">
        <v>575</v>
      </c>
    </row>
    <row r="577" spans="2:2" x14ac:dyDescent="0.3">
      <c r="B577" t="s">
        <v>576</v>
      </c>
    </row>
    <row r="578" spans="2:2" x14ac:dyDescent="0.3">
      <c r="B578" t="s">
        <v>577</v>
      </c>
    </row>
    <row r="579" spans="2:2" x14ac:dyDescent="0.3">
      <c r="B579" t="s">
        <v>578</v>
      </c>
    </row>
    <row r="580" spans="2:2" x14ac:dyDescent="0.3">
      <c r="B580" t="s">
        <v>579</v>
      </c>
    </row>
    <row r="581" spans="2:2" x14ac:dyDescent="0.3">
      <c r="B581" t="s">
        <v>580</v>
      </c>
    </row>
    <row r="582" spans="2:2" x14ac:dyDescent="0.3">
      <c r="B582" t="s">
        <v>581</v>
      </c>
    </row>
    <row r="583" spans="2:2" x14ac:dyDescent="0.3">
      <c r="B583" t="s">
        <v>582</v>
      </c>
    </row>
    <row r="584" spans="2:2" x14ac:dyDescent="0.3">
      <c r="B584" t="s">
        <v>583</v>
      </c>
    </row>
    <row r="585" spans="2:2" x14ac:dyDescent="0.3">
      <c r="B585" t="s">
        <v>584</v>
      </c>
    </row>
    <row r="586" spans="2:2" x14ac:dyDescent="0.3">
      <c r="B586" t="s">
        <v>585</v>
      </c>
    </row>
    <row r="587" spans="2:2" x14ac:dyDescent="0.3">
      <c r="B587" t="s">
        <v>586</v>
      </c>
    </row>
    <row r="588" spans="2:2" x14ac:dyDescent="0.3">
      <c r="B588" t="s">
        <v>587</v>
      </c>
    </row>
    <row r="589" spans="2:2" x14ac:dyDescent="0.3">
      <c r="B589" t="s">
        <v>588</v>
      </c>
    </row>
    <row r="590" spans="2:2" x14ac:dyDescent="0.3">
      <c r="B590" t="s">
        <v>589</v>
      </c>
    </row>
    <row r="591" spans="2:2" x14ac:dyDescent="0.3">
      <c r="B591" t="s">
        <v>590</v>
      </c>
    </row>
    <row r="592" spans="2:2" x14ac:dyDescent="0.3">
      <c r="B592" t="s">
        <v>591</v>
      </c>
    </row>
    <row r="593" spans="2:2" x14ac:dyDescent="0.3">
      <c r="B593" t="s">
        <v>592</v>
      </c>
    </row>
    <row r="594" spans="2:2" x14ac:dyDescent="0.3">
      <c r="B594" t="s">
        <v>593</v>
      </c>
    </row>
    <row r="595" spans="2:2" x14ac:dyDescent="0.3">
      <c r="B595" t="s">
        <v>594</v>
      </c>
    </row>
    <row r="596" spans="2:2" x14ac:dyDescent="0.3">
      <c r="B596" t="s">
        <v>595</v>
      </c>
    </row>
    <row r="597" spans="2:2" x14ac:dyDescent="0.3">
      <c r="B597" t="s">
        <v>596</v>
      </c>
    </row>
    <row r="598" spans="2:2" x14ac:dyDescent="0.3">
      <c r="B598" t="s">
        <v>597</v>
      </c>
    </row>
    <row r="599" spans="2:2" x14ac:dyDescent="0.3">
      <c r="B599" t="s">
        <v>598</v>
      </c>
    </row>
    <row r="600" spans="2:2" x14ac:dyDescent="0.3">
      <c r="B600" t="s">
        <v>599</v>
      </c>
    </row>
    <row r="601" spans="2:2" x14ac:dyDescent="0.3">
      <c r="B601" t="s">
        <v>600</v>
      </c>
    </row>
    <row r="602" spans="2:2" x14ac:dyDescent="0.3">
      <c r="B602" t="s">
        <v>601</v>
      </c>
    </row>
    <row r="603" spans="2:2" x14ac:dyDescent="0.3">
      <c r="B603" t="s">
        <v>602</v>
      </c>
    </row>
    <row r="604" spans="2:2" x14ac:dyDescent="0.3">
      <c r="B604" t="s">
        <v>603</v>
      </c>
    </row>
    <row r="605" spans="2:2" x14ac:dyDescent="0.3">
      <c r="B605" t="s">
        <v>604</v>
      </c>
    </row>
    <row r="606" spans="2:2" x14ac:dyDescent="0.3">
      <c r="B606" t="s">
        <v>605</v>
      </c>
    </row>
    <row r="607" spans="2:2" x14ac:dyDescent="0.3">
      <c r="B607" t="s">
        <v>606</v>
      </c>
    </row>
    <row r="608" spans="2:2" x14ac:dyDescent="0.3">
      <c r="B608" t="s">
        <v>607</v>
      </c>
    </row>
    <row r="609" spans="2:2" x14ac:dyDescent="0.3">
      <c r="B609" t="s">
        <v>608</v>
      </c>
    </row>
    <row r="610" spans="2:2" x14ac:dyDescent="0.3">
      <c r="B610" t="s">
        <v>609</v>
      </c>
    </row>
    <row r="611" spans="2:2" x14ac:dyDescent="0.3">
      <c r="B611" t="s">
        <v>610</v>
      </c>
    </row>
    <row r="612" spans="2:2" x14ac:dyDescent="0.3">
      <c r="B612" t="s">
        <v>611</v>
      </c>
    </row>
    <row r="613" spans="2:2" x14ac:dyDescent="0.3">
      <c r="B613" t="s">
        <v>612</v>
      </c>
    </row>
    <row r="614" spans="2:2" x14ac:dyDescent="0.3">
      <c r="B614" t="s">
        <v>613</v>
      </c>
    </row>
    <row r="615" spans="2:2" x14ac:dyDescent="0.3">
      <c r="B615" t="s">
        <v>614</v>
      </c>
    </row>
    <row r="616" spans="2:2" x14ac:dyDescent="0.3">
      <c r="B616" t="s">
        <v>615</v>
      </c>
    </row>
    <row r="617" spans="2:2" x14ac:dyDescent="0.3">
      <c r="B617" t="s">
        <v>616</v>
      </c>
    </row>
    <row r="618" spans="2:2" x14ac:dyDescent="0.3">
      <c r="B618" t="s">
        <v>617</v>
      </c>
    </row>
    <row r="619" spans="2:2" x14ac:dyDescent="0.3">
      <c r="B619" t="s">
        <v>618</v>
      </c>
    </row>
    <row r="620" spans="2:2" x14ac:dyDescent="0.3">
      <c r="B620" t="s">
        <v>619</v>
      </c>
    </row>
    <row r="621" spans="2:2" x14ac:dyDescent="0.3">
      <c r="B621" t="s">
        <v>620</v>
      </c>
    </row>
    <row r="622" spans="2:2" x14ac:dyDescent="0.3">
      <c r="B622" t="s">
        <v>621</v>
      </c>
    </row>
    <row r="623" spans="2:2" x14ac:dyDescent="0.3">
      <c r="B623" t="s">
        <v>622</v>
      </c>
    </row>
    <row r="624" spans="2:2" x14ac:dyDescent="0.3">
      <c r="B624" t="s">
        <v>623</v>
      </c>
    </row>
    <row r="625" spans="2:2" x14ac:dyDescent="0.3">
      <c r="B625" t="s">
        <v>624</v>
      </c>
    </row>
    <row r="626" spans="2:2" x14ac:dyDescent="0.3">
      <c r="B626" t="s">
        <v>625</v>
      </c>
    </row>
    <row r="627" spans="2:2" x14ac:dyDescent="0.3">
      <c r="B627" t="s">
        <v>626</v>
      </c>
    </row>
    <row r="628" spans="2:2" x14ac:dyDescent="0.3">
      <c r="B628" t="s">
        <v>627</v>
      </c>
    </row>
    <row r="629" spans="2:2" x14ac:dyDescent="0.3">
      <c r="B629" t="s">
        <v>628</v>
      </c>
    </row>
    <row r="630" spans="2:2" x14ac:dyDescent="0.3">
      <c r="B630" t="s">
        <v>629</v>
      </c>
    </row>
    <row r="631" spans="2:2" x14ac:dyDescent="0.3">
      <c r="B631" t="s">
        <v>630</v>
      </c>
    </row>
    <row r="632" spans="2:2" x14ac:dyDescent="0.3">
      <c r="B632" t="s">
        <v>631</v>
      </c>
    </row>
    <row r="633" spans="2:2" x14ac:dyDescent="0.3">
      <c r="B633" t="s">
        <v>632</v>
      </c>
    </row>
    <row r="634" spans="2:2" x14ac:dyDescent="0.3">
      <c r="B634" t="s">
        <v>633</v>
      </c>
    </row>
    <row r="635" spans="2:2" x14ac:dyDescent="0.3">
      <c r="B635" t="s">
        <v>634</v>
      </c>
    </row>
    <row r="636" spans="2:2" x14ac:dyDescent="0.3">
      <c r="B636" t="s">
        <v>635</v>
      </c>
    </row>
    <row r="637" spans="2:2" x14ac:dyDescent="0.3">
      <c r="B637" t="s">
        <v>636</v>
      </c>
    </row>
    <row r="638" spans="2:2" x14ac:dyDescent="0.3">
      <c r="B638" t="s">
        <v>637</v>
      </c>
    </row>
    <row r="639" spans="2:2" x14ac:dyDescent="0.3">
      <c r="B639" t="s">
        <v>638</v>
      </c>
    </row>
    <row r="640" spans="2:2" x14ac:dyDescent="0.3">
      <c r="B640" t="s">
        <v>639</v>
      </c>
    </row>
    <row r="641" spans="2:2" x14ac:dyDescent="0.3">
      <c r="B641" t="s">
        <v>640</v>
      </c>
    </row>
    <row r="642" spans="2:2" x14ac:dyDescent="0.3">
      <c r="B642" t="s">
        <v>641</v>
      </c>
    </row>
    <row r="643" spans="2:2" x14ac:dyDescent="0.3">
      <c r="B643" t="s">
        <v>642</v>
      </c>
    </row>
    <row r="644" spans="2:2" x14ac:dyDescent="0.3">
      <c r="B644" t="s">
        <v>643</v>
      </c>
    </row>
    <row r="645" spans="2:2" x14ac:dyDescent="0.3">
      <c r="B645" t="s">
        <v>644</v>
      </c>
    </row>
    <row r="646" spans="2:2" x14ac:dyDescent="0.3">
      <c r="B646" t="s">
        <v>645</v>
      </c>
    </row>
    <row r="647" spans="2:2" x14ac:dyDescent="0.3">
      <c r="B647" t="s">
        <v>646</v>
      </c>
    </row>
    <row r="648" spans="2:2" x14ac:dyDescent="0.3">
      <c r="B648" t="s">
        <v>647</v>
      </c>
    </row>
    <row r="649" spans="2:2" x14ac:dyDescent="0.3">
      <c r="B649" t="s">
        <v>648</v>
      </c>
    </row>
    <row r="650" spans="2:2" x14ac:dyDescent="0.3">
      <c r="B650" t="s">
        <v>649</v>
      </c>
    </row>
    <row r="651" spans="2:2" x14ac:dyDescent="0.3">
      <c r="B651" t="s">
        <v>650</v>
      </c>
    </row>
    <row r="652" spans="2:2" x14ac:dyDescent="0.3">
      <c r="B652" t="s">
        <v>651</v>
      </c>
    </row>
    <row r="653" spans="2:2" x14ac:dyDescent="0.3">
      <c r="B653" t="s">
        <v>652</v>
      </c>
    </row>
    <row r="654" spans="2:2" x14ac:dyDescent="0.3">
      <c r="B654" t="s">
        <v>653</v>
      </c>
    </row>
    <row r="655" spans="2:2" x14ac:dyDescent="0.3">
      <c r="B655" t="s">
        <v>654</v>
      </c>
    </row>
    <row r="656" spans="2:2" x14ac:dyDescent="0.3">
      <c r="B656" t="s">
        <v>655</v>
      </c>
    </row>
    <row r="657" spans="2:2" x14ac:dyDescent="0.3">
      <c r="B657" t="s">
        <v>656</v>
      </c>
    </row>
    <row r="658" spans="2:2" x14ac:dyDescent="0.3">
      <c r="B658" t="s">
        <v>657</v>
      </c>
    </row>
    <row r="659" spans="2:2" x14ac:dyDescent="0.3">
      <c r="B659" t="s">
        <v>658</v>
      </c>
    </row>
    <row r="660" spans="2:2" x14ac:dyDescent="0.3">
      <c r="B660" t="s">
        <v>659</v>
      </c>
    </row>
    <row r="661" spans="2:2" x14ac:dyDescent="0.3">
      <c r="B661" t="s">
        <v>660</v>
      </c>
    </row>
    <row r="662" spans="2:2" x14ac:dyDescent="0.3">
      <c r="B662" t="s">
        <v>661</v>
      </c>
    </row>
    <row r="663" spans="2:2" x14ac:dyDescent="0.3">
      <c r="B663" t="s">
        <v>662</v>
      </c>
    </row>
    <row r="664" spans="2:2" x14ac:dyDescent="0.3">
      <c r="B664" t="s">
        <v>663</v>
      </c>
    </row>
    <row r="665" spans="2:2" x14ac:dyDescent="0.3">
      <c r="B665" t="s">
        <v>664</v>
      </c>
    </row>
    <row r="666" spans="2:2" x14ac:dyDescent="0.3">
      <c r="B666" t="s">
        <v>665</v>
      </c>
    </row>
    <row r="667" spans="2:2" x14ac:dyDescent="0.3">
      <c r="B667" t="s">
        <v>666</v>
      </c>
    </row>
    <row r="668" spans="2:2" x14ac:dyDescent="0.3">
      <c r="B668" t="s">
        <v>667</v>
      </c>
    </row>
    <row r="669" spans="2:2" x14ac:dyDescent="0.3">
      <c r="B669" t="s">
        <v>668</v>
      </c>
    </row>
    <row r="670" spans="2:2" x14ac:dyDescent="0.3">
      <c r="B670" t="s">
        <v>669</v>
      </c>
    </row>
    <row r="671" spans="2:2" x14ac:dyDescent="0.3">
      <c r="B671" t="s">
        <v>670</v>
      </c>
    </row>
    <row r="672" spans="2:2" x14ac:dyDescent="0.3">
      <c r="B672" t="s">
        <v>671</v>
      </c>
    </row>
    <row r="673" spans="2:2" x14ac:dyDescent="0.3">
      <c r="B673" t="s">
        <v>672</v>
      </c>
    </row>
    <row r="674" spans="2:2" x14ac:dyDescent="0.3">
      <c r="B674" t="s">
        <v>673</v>
      </c>
    </row>
    <row r="675" spans="2:2" x14ac:dyDescent="0.3">
      <c r="B675" t="s">
        <v>674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37</vt:i4>
      </vt:variant>
    </vt:vector>
  </HeadingPairs>
  <TitlesOfParts>
    <vt:vector size="41" baseType="lpstr">
      <vt:lpstr>Card Board</vt:lpstr>
      <vt:lpstr>Control</vt:lpstr>
      <vt:lpstr>Question Card</vt:lpstr>
      <vt:lpstr>Database</vt:lpstr>
      <vt:lpstr>Board_Card_01</vt:lpstr>
      <vt:lpstr>Board_Card_02</vt:lpstr>
      <vt:lpstr>Board_Card_03</vt:lpstr>
      <vt:lpstr>Board_Card_04</vt:lpstr>
      <vt:lpstr>Board_Card_05</vt:lpstr>
      <vt:lpstr>Board_Card_06</vt:lpstr>
      <vt:lpstr>Board_Card_07</vt:lpstr>
      <vt:lpstr>Board_Card_08</vt:lpstr>
      <vt:lpstr>Board_Card_09</vt:lpstr>
      <vt:lpstr>Board_Card_10</vt:lpstr>
      <vt:lpstr>Board_Card_11</vt:lpstr>
      <vt:lpstr>Board_Card_12</vt:lpstr>
      <vt:lpstr>Board_Card_13</vt:lpstr>
      <vt:lpstr>Board_Card_14</vt:lpstr>
      <vt:lpstr>Board_Card_15</vt:lpstr>
      <vt:lpstr>Board_Card_16</vt:lpstr>
      <vt:lpstr>Board_Card_17</vt:lpstr>
      <vt:lpstr>Board_Card_18</vt:lpstr>
      <vt:lpstr>Board_Card_19</vt:lpstr>
      <vt:lpstr>Board_Card_20</vt:lpstr>
      <vt:lpstr>Board_Card_21</vt:lpstr>
      <vt:lpstr>Board_Card_22</vt:lpstr>
      <vt:lpstr>Board_Card_23</vt:lpstr>
      <vt:lpstr>Board_Card_24</vt:lpstr>
      <vt:lpstr>Board_Card_25</vt:lpstr>
      <vt:lpstr>Ctrl_BoardCardInfo_Start</vt:lpstr>
      <vt:lpstr>Ctrl_BoardWordCount</vt:lpstr>
      <vt:lpstr>Ctrl_EndGame_Assassin</vt:lpstr>
      <vt:lpstr>Ctrl_EndGame_Blue</vt:lpstr>
      <vt:lpstr>Ctrl_EndGame_Red</vt:lpstr>
      <vt:lpstr>Ctrl_Game_ExtraCard</vt:lpstr>
      <vt:lpstr>Ctrl_GameState</vt:lpstr>
      <vt:lpstr>Ctrl_TotalAssassinCount</vt:lpstr>
      <vt:lpstr>Ctrl_TotalTeamSpyCount</vt:lpstr>
      <vt:lpstr>Ctrl_TotalWordCount</vt:lpstr>
      <vt:lpstr>DB_CodeNames</vt:lpstr>
      <vt:lpstr>QuestionCard_Card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Omkar Bhatt</dc:creator>
  <cp:lastModifiedBy>Omkar Bhatt</cp:lastModifiedBy>
  <dcterms:created xsi:type="dcterms:W3CDTF">2017-11-20T17:54:08Z</dcterms:created>
  <dcterms:modified xsi:type="dcterms:W3CDTF">2018-01-28T06:59:33Z</dcterms:modified>
</cp:coreProperties>
</file>